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0661c518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览" sheetId="1" r:id="Rd7f1e0f375614e39"/>
    <x:sheet xmlns:r="http://schemas.openxmlformats.org/officeDocument/2006/relationships" name="器件清单" sheetId="2" r:id="R292bae4dd1474e6b"/>
    <x:sheet xmlns:r="http://schemas.openxmlformats.org/officeDocument/2006/relationships" name="核价说明" sheetId="3" r:id="R16f9a34ec159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</x:fills>
  <x:borders count="13">
    <x:border/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4" xfId="0" applyNumberFormat="1" applyFont="1" applyFill="1" applyBorder="1"/>
    <x:xf numFmtId="20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201" fontId="0" fillId="7" borderId="1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58019641a4db7" /><Relationship Type="http://schemas.openxmlformats.org/officeDocument/2006/relationships/theme" Target="/xl/theme/theme1.xml" Id="R1b839d2e88324e8d" /><Relationship Type="http://schemas.openxmlformats.org/officeDocument/2006/relationships/sharedStrings" Target="/xl/sharedStrings.xml" Id="R2010a26e916742cd" /><Relationship Type="http://schemas.openxmlformats.org/officeDocument/2006/relationships/worksheet" Target="/xl/worksheets/sheet1.xml" Id="Rd7f1e0f375614e39" /><Relationship Type="http://schemas.openxmlformats.org/officeDocument/2006/relationships/worksheet" Target="/xl/worksheets/sheet2.xml" Id="R292bae4dd1474e6b" /><Relationship Type="http://schemas.openxmlformats.org/officeDocument/2006/relationships/worksheet" Target="/xl/worksheets/sheet3.xml" Id="R16f9a34ec1594c8f" /></Relationships>
</file>

<file path=xl/tables/table1.xml><?xml version="1.0" encoding="utf-8"?>
<x:table xmlns:x="http://schemas.openxmlformats.org/spreadsheetml/2006/main" id="1" name="RcCarPriceAuditTable" displayName="RcCarPriceAuditTable" ref="A4:N16" headerRowCount="1" totalsRowCount="0" totalsRowShown="0">
  <x:tableColumns count="14">
    <x:tableColumn id="1" name="类别"/>
    <x:tableColumn id="2" name="商品/方案"/>
    <x:tableColumn id="3" name="下单规格"/>
    <x:tableColumn id="4" name="数量"/>
    <x:tableColumn id="5" name="单位"/>
    <x:tableColumn id="6" name="页面单价(元)"/>
    <x:tableColumn id="7" name="基础运费(元)"/>
    <x:tableColumn id="8" name="核价状态"/>
    <x:tableColumn id="9" name="计入当前预算"/>
    <x:tableColumn id="10" name="平台"/>
    <x:tableColumn id="11" name="商品详情直达链接"/>
    <x:tableColumn id="12" name="到手小计(元)"/>
    <x:tableColumn id="13" name="核价依据"/>
    <x:tableColumn id="14" name="风险与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e67dc1bb9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44" hidden="0" customWidth="1"/>
  </x:cols>
  <x:sheetData>
    <x:row r="1" ht="34" customHeight="1">
      <x:c r="A1" s="47" t="str">
        <x:v>RC-CAR-V1.0 真实核价总览</x:v>
      </x:c>
      <x:c r="B1" s="47"/>
      <x:c r="C1" s="47"/>
      <x:c r="D1" s="47"/>
      <x:c r="E1" s="47"/>
      <x:c r="F1" s="47"/>
      <x:c r="G1" s="47"/>
      <x:c r="H1" s="47"/>
    </x:row>
    <x:row r="3">
      <x:c r="A3" s="9" t="str">
        <x:v>指标</x:v>
      </x:c>
      <x:c r="B3" s="9" t="str">
        <x:v>结果</x:v>
      </x:c>
      <x:c r="D3" s="48" t="str">
        <x:v>本次纠正的关键项目</x:v>
      </x:c>
      <x:c r="E3" s="48"/>
      <x:c r="F3" s="48"/>
      <x:c r="G3" s="48"/>
      <x:c r="H3" s="48"/>
    </x:row>
    <x:row r="4">
      <x:c r="A4" s="55" t="str">
        <x:v>已核实并计入预算</x:v>
      </x:c>
      <x:c r="B4" s="56" t="n">
        <x:f>SUM('器件清单'!L5:L16)</x:f>
        <x:v>39.03</x:v>
      </x:c>
      <x:c r="D4" s="51" t="str">
        <x:v>项目</x:v>
      </x:c>
      <x:c r="E4" s="51" t="str">
        <x:v>原清单</x:v>
      </x:c>
      <x:c r="F4" s="51" t="str">
        <x:v>本次核对</x:v>
      </x:c>
      <x:c r="G4" s="51" t="str">
        <x:v>处理</x:v>
      </x:c>
      <x:c r="H4" s="51" t="str">
        <x:v>说明</x:v>
      </x:c>
    </x:row>
    <x:row r="5" ht="34" customHeight="1">
      <x:c r="A5" s="57" t="str">
        <x:v>完整核实条目数</x:v>
      </x:c>
      <x:c r="B5" s="58" t="n">
        <x:f>COUNTIF('器件清单'!H5:H16,"已核实")</x:f>
        <x:v>2</x:v>
      </x:c>
      <x:c r="D5" s="79" t="str">
        <x:v>ESP32-C3</x:v>
      </x:c>
      <x:c r="E5" s="80" t="str">
        <x:v>¥78.00</x:v>
      </x:c>
      <x:c r="F5" s="80" t="str">
        <x:v>¥13.10</x:v>
      </x:c>
      <x:c r="G5" s="80" t="str">
        <x:v>已替换</x:v>
      </x:c>
      <x:c r="H5" s="81" t="str">
        <x:v>DZQJ 已焊接版；2块 ¥26.20，页面标注包邮</x:v>
      </x:c>
    </x:row>
    <x:row r="6" ht="34" customHeight="1">
      <x:c r="A6" s="57" t="str">
        <x:v>待补价格/运费条目数</x:v>
      </x:c>
      <x:c r="B6" s="58" t="n">
        <x:f>COUNTIF('器件清单'!H5:H16,"&lt;&gt;已核实")-COUNTIF('器件清单'!H5:H16,"链接失效")-COUNTIF('器件清单'!H5:H16,"待重新选品")</x:f>
        <x:v>8</x:v>
      </x:c>
      <x:c r="D6" s="33" t="str">
        <x:v>2WD底盘</x:v>
      </x:c>
      <x:c r="E6" s="34" t="str">
        <x:v>¥59.00</x:v>
      </x:c>
      <x:c r="F6" s="34" t="str">
        <x:v>¥12.83</x:v>
      </x:c>
      <x:c r="G6" s="34" t="str">
        <x:v>已更正</x:v>
      </x:c>
      <x:c r="H6" s="38" t="str">
        <x:v>已切换到“2WD迷你全套”对应SKU</x:v>
      </x:c>
    </x:row>
    <x:row r="7" ht="34" customHeight="1">
      <x:c r="A7" s="57" t="str">
        <x:v>链接失效/待重新选品</x:v>
      </x:c>
      <x:c r="B7" s="58" t="n">
        <x:f>COUNTIF('器件清单'!H5:H16,"链接失效")+COUNTIF('器件清单'!H5:H16,"待重新选品")</x:f>
        <x:v>2</x:v>
      </x:c>
      <x:c r="D7" s="33" t="str">
        <x:v>USB数据线</x:v>
      </x:c>
      <x:c r="E7" s="34" t="str">
        <x:v>¥39.90</x:v>
      </x:c>
      <x:c r="F7" s="34" t="str">
        <x:v>¥83.00</x:v>
      </x:c>
      <x:c r="G7" s="34" t="str">
        <x:v>不计预算</x:v>
      </x:c>
      <x:c r="H7" s="38" t="str">
        <x:v>页面为2个装，运费未显示</x:v>
      </x:c>
    </x:row>
    <x:row r="8" ht="34" customHeight="1">
      <x:c r="A8" s="57" t="str">
        <x:v>清单总条目数</x:v>
      </x:c>
      <x:c r="B8" s="58" t="n">
        <x:v>12</x:v>
      </x:c>
      <x:c r="D8" s="39" t="str">
        <x:v>其他未核价项</x:v>
      </x:c>
      <x:c r="E8" s="40" t="str">
        <x:v>使用估价</x:v>
      </x:c>
      <x:c r="F8" s="40" t="str">
        <x:v>价格留空</x:v>
      </x:c>
      <x:c r="G8" s="40" t="str">
        <x:v>不计预算</x:v>
      </x:c>
      <x:c r="H8" s="44" t="str">
        <x:v>看不到实价就不写入总额</x:v>
      </x:c>
    </x:row>
    <x:row r="9">
      <x:c r="A9" s="59" t="str">
        <x:v>核价日期</x:v>
      </x:c>
      <x:c r="B9" s="60" t="n">
        <x:v>46236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7" hidden="0" customWidth="1"/>
    <x:col min="5" max="5" width="7" hidden="0" customWidth="1"/>
    <x:col min="6" max="6" width="13" hidden="0" customWidth="1"/>
    <x:col min="7" max="7" width="13" hidden="0" customWidth="1"/>
    <x:col min="8" max="8" width="20" hidden="0" customWidth="1"/>
    <x:col min="9" max="9" width="14" hidden="0" customWidth="1"/>
    <x:col min="10" max="10" width="10" hidden="0" customWidth="1"/>
    <x:col min="11" max="11" width="42" hidden="0" customWidth="1"/>
    <x:col min="12" max="12" width="15" hidden="0" customWidth="1"/>
    <x:col min="13" max="13" width="40" hidden="0" customWidth="1"/>
    <x:col min="14" max="14" width="40" hidden="0" customWidth="1"/>
  </x:cols>
  <x:sheetData>
    <x:row r="1" ht="30" customHeight="1">
      <x:c r="A1" s="4" t="str">
        <x:v>RC-CAR-V1.0 器件采购清单（页面实价核对版，2026-08-02）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0" customHeight="1">
      <x:c r="A2" s="7" t="str">
        <x:v>规则：页面价、规格和运费均能确认时才计入预算；未核实项目不再用“同类市场价”代替。最终价格仍以提交订单页面为准。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6" customHeight="1">
      <x:c r="A4" s="30" t="str">
        <x:v>类别</x:v>
      </x:c>
      <x:c r="B4" s="31" t="str">
        <x:v>商品/方案</x:v>
      </x:c>
      <x:c r="C4" s="31" t="str">
        <x:v>下单规格</x:v>
      </x:c>
      <x:c r="D4" s="31" t="str">
        <x:v>数量</x:v>
      </x:c>
      <x:c r="E4" s="31" t="str">
        <x:v>单位</x:v>
      </x:c>
      <x:c r="F4" s="31" t="str">
        <x:v>页面单价(元)</x:v>
      </x:c>
      <x:c r="G4" s="31" t="str">
        <x:v>基础运费(元)</x:v>
      </x:c>
      <x:c r="H4" s="31" t="str">
        <x:v>核价状态</x:v>
      </x:c>
      <x:c r="I4" s="31" t="str">
        <x:v>计入当前预算</x:v>
      </x:c>
      <x:c r="J4" s="31" t="str">
        <x:v>平台</x:v>
      </x:c>
      <x:c r="K4" s="31" t="str">
        <x:v>商品详情直达链接</x:v>
      </x:c>
      <x:c r="L4" s="31" t="str">
        <x:v>到手小计(元)</x:v>
      </x:c>
      <x:c r="M4" s="31" t="str">
        <x:v>核价依据</x:v>
      </x:c>
      <x:c r="N4" s="32" t="str">
        <x:v>风险与备注</x:v>
      </x:c>
    </x:row>
    <x:row r="5" ht="58" customHeight="1">
      <x:c r="A5" s="33" t="str">
        <x:v>原型电子</x:v>
      </x:c>
      <x:c r="B5" s="34" t="str">
        <x:v>DZQJ ESP32-C3 SuperMini 开发板</x:v>
      </x:c>
      <x:c r="C5" s="34" t="str">
        <x:v>已焊接排针</x:v>
      </x:c>
      <x:c r="D5" s="35" t="n">
        <x:v>2</x:v>
      </x:c>
      <x:c r="E5" s="35" t="str">
        <x:v>块</x:v>
      </x:c>
      <x:c r="F5" s="36" t="n">
        <x:v>13.1</x:v>
      </x:c>
      <x:c r="G5" s="36" t="n">
        <x:v>0</x:v>
      </x:c>
      <x:c r="H5" s="35" t="str">
        <x:v>已核实</x:v>
      </x:c>
      <x:c r="I5" s="35" t="str">
        <x:v>是</x:v>
      </x:c>
      <x:c r="J5" s="35" t="str">
        <x:v>京东</x:v>
      </x:c>
      <x:c r="K5" s="34" t="str">
        <x:v>https://ic-item.jd.com/10120505745601.html</x:v>
      </x:c>
      <x:c r="L5" s="37" t="n">
        <x:f>IF(AND(H5="已核实",I5="是",ISNUMBER(F5),ISNUMBER(G5)),ROUND(D5*F5+G5,2),"")</x:f>
        <x:v>26.2</x:v>
      </x:c>
      <x:c r="M5" s="34" t="str">
        <x:v>页面常规价 ¥13.10；河南地区有货（库存10000+）；包邮（以订单为准）</x:v>
      </x:c>
      <x:c r="N5" s="38" t="str">
        <x:v>采用常规价计预算，不依赖企业会员价 ¥12.71 或临时补贴</x:v>
      </x:c>
    </x:row>
    <x:row r="6" ht="58" customHeight="1">
      <x:c r="A6" s="33" t="str">
        <x:v>原型电子</x:v>
      </x:c>
      <x:c r="B6" s="34" t="str">
        <x:v>TB6612FNG 双路电机驱动模块</x:v>
      </x:c>
      <x:c r="C6" s="34" t="str">
        <x:v>焊接排针、3.3V逻辑兼容</x:v>
      </x:c>
      <x:c r="D6" s="35" t="n">
        <x:v>1</x:v>
      </x:c>
      <x:c r="E6" s="35" t="str">
        <x:v>块</x:v>
      </x:c>
      <x:c r="F6" s="36"/>
      <x:c r="G6" s="36"/>
      <x:c r="H6" s="35" t="str">
        <x:v>价格未显示</x:v>
      </x:c>
      <x:c r="I6" s="35" t="str">
        <x:v>否</x:v>
      </x:c>
      <x:c r="J6" s="35" t="str">
        <x:v>京东</x:v>
      </x:c>
      <x:c r="K6" s="34" t="str">
        <x:v>https://ic-item.jd.com/10162327051022.html</x:v>
      </x:c>
      <x:c r="L6" s="37" t="str">
        <x:f>IF(AND(H6="已核实",I6="是",ISNUMBER(F6),ISNUMBER(G6)),ROUND(D6*F6+G6,2),"")</x:f>
      </x:c>
      <x:c r="M6" s="34" t="str">
        <x:v>页面标题匹配，但本次未读取到有效价格</x:v>
      </x:c>
      <x:c r="N6" s="38" t="str">
        <x:v>原先 ¥29 为同类估价，已删除；看到实际价后再填</x:v>
      </x:c>
    </x:row>
    <x:row r="7" ht="58" customHeight="1">
      <x:c r="A7" s="33" t="str">
        <x:v>机械动力</x:v>
      </x:c>
      <x:c r="B7" s="34" t="str">
        <x:v>登仕唐 2WD 智能小车底盘套件</x:v>
      </x:c>
      <x:c r="C7" s="34" t="str">
        <x:v>2WD迷你全套</x:v>
      </x:c>
      <x:c r="D7" s="35" t="n">
        <x:v>1</x:v>
      </x:c>
      <x:c r="E7" s="35" t="str">
        <x:v>套</x:v>
      </x:c>
      <x:c r="F7" s="36" t="n">
        <x:v>12.83</x:v>
      </x:c>
      <x:c r="G7" s="36" t="n">
        <x:v>0</x:v>
      </x:c>
      <x:c r="H7" s="35" t="str">
        <x:v>已核实</x:v>
      </x:c>
      <x:c r="I7" s="35" t="str">
        <x:v>是</x:v>
      </x:c>
      <x:c r="J7" s="35" t="str">
        <x:v>京东</x:v>
      </x:c>
      <x:c r="K7" s="34" t="str">
        <x:v>https://ic-item.jd.com/10095736668346.html</x:v>
      </x:c>
      <x:c r="L7" s="37" t="n">
        <x:f>IF(AND(H7="已核实",I7="是",ISNUMBER(F7),ISNUMBER(G7)),ROUND(D7*F7+G7,2),"")</x:f>
        <x:v>12.83</x:v>
      </x:c>
      <x:c r="M7" s="34" t="str">
        <x:v>切换到“2WD迷你全套”后显示 ¥12.83；页面标注包邮（以订单为准）</x:v>
      </x:c>
      <x:c r="N7" s="38" t="str">
        <x:v>到货核对是否含2个TT电机、2个轮胎、万向轮、电池盒与安装件</x:v>
      </x:c>
    </x:row>
    <x:row r="8" ht="58" customHeight="1">
      <x:c r="A8" s="33" t="str">
        <x:v>遥控输入</x:v>
      </x:c>
      <x:c r="B8" s="34" t="str">
        <x:v>登仕唐 PS2 双轴摇杆模块</x:v>
      </x:c>
      <x:c r="C8" s="34" t="str">
        <x:v>红板防反插接口，配5P线</x:v>
      </x:c>
      <x:c r="D8" s="35" t="n">
        <x:v>1</x:v>
      </x:c>
      <x:c r="E8" s="35" t="str">
        <x:v>个</x:v>
      </x:c>
      <x:c r="F8" s="36"/>
      <x:c r="G8" s="36"/>
      <x:c r="H8" s="35" t="str">
        <x:v>价格未显示</x:v>
      </x:c>
      <x:c r="I8" s="35" t="str">
        <x:v>否</x:v>
      </x:c>
      <x:c r="J8" s="35" t="str">
        <x:v>京东</x:v>
      </x:c>
      <x:c r="K8" s="34" t="str">
        <x:v>https://ic-item.jd.com/10207428429840.html</x:v>
      </x:c>
      <x:c r="L8" s="37" t="str">
        <x:f>IF(AND(H8="已核实",I8="是",ISNUMBER(F8),ISNUMBER(G8)),ROUND(D8*F8+G8,2),"")</x:f>
      </x:c>
      <x:c r="M8" s="34" t="str">
        <x:v>页面标题和规格匹配，但价格栏为空</x:v>
      </x:c>
      <x:c r="N8" s="38" t="str">
        <x:v>原先 ¥18 为估价，已删除</x:v>
      </x:c>
    </x:row>
    <x:row r="9" ht="58" customHeight="1">
      <x:c r="A9" s="33" t="str">
        <x:v>原型连接</x:v>
      </x:c>
      <x:c r="B9" s="34" t="str">
        <x:v>DZQJ MB-102 面包板基础实验套件</x:v>
      </x:c>
      <x:c r="C9" s="34" t="str">
        <x:v>830孔面包板、杜邦线及常用原型配件</x:v>
      </x:c>
      <x:c r="D9" s="35" t="n">
        <x:v>1</x:v>
      </x:c>
      <x:c r="E9" s="35" t="str">
        <x:v>套</x:v>
      </x:c>
      <x:c r="F9" s="36"/>
      <x:c r="G9" s="36"/>
      <x:c r="H9" s="35" t="str">
        <x:v>链接失效</x:v>
      </x:c>
      <x:c r="I9" s="35" t="str">
        <x:v>否</x:v>
      </x:c>
      <x:c r="J9" s="35" t="str">
        <x:v>京东</x:v>
      </x:c>
      <x:c r="K9" s="34" t="str">
        <x:v>https://item.jd.com/10145422358367.html</x:v>
      </x:c>
      <x:c r="L9" s="37" t="str">
        <x:f>IF(AND(H9="已核实",I9="是",ISNUMBER(F9),ISNUMBER(G9)),ROUND(D9*F9+G9,2),"")</x:f>
      </x:c>
      <x:c r="M9" s="34" t="str">
        <x:v>打开后回到京东通用页，无法确认商品与价格</x:v>
      </x:c>
      <x:c r="N9" s="38" t="str">
        <x:v>不要按原链接下单，需重新选品</x:v>
      </x:c>
    </x:row>
    <x:row r="10" ht="58" customHeight="1">
      <x:c r="A10" s="33" t="str">
        <x:v>调试连接</x:v>
      </x:c>
      <x:c r="B10" s="34" t="str">
        <x:v>绿联 30875 二合一数据线（2个装）</x:v>
      </x:c>
      <x:c r="C10" s="34" t="str">
        <x:v>USB-A转Micro USB + Type-C，1m，2个装</x:v>
      </x:c>
      <x:c r="D10" s="35" t="n">
        <x:v>1</x:v>
      </x:c>
      <x:c r="E10" s="35" t="str">
        <x:v>套</x:v>
      </x:c>
      <x:c r="F10" s="36" t="n">
        <x:v>83</x:v>
      </x:c>
      <x:c r="G10" s="36"/>
      <x:c r="H10" s="35" t="str">
        <x:v>已核单价/待核运费</x:v>
      </x:c>
      <x:c r="I10" s="35" t="str">
        <x:v>否</x:v>
      </x:c>
      <x:c r="J10" s="35" t="str">
        <x:v>京东</x:v>
      </x:c>
      <x:c r="K10" s="34" t="str">
        <x:v>https://item.jd.com/100061434896.html</x:v>
      </x:c>
      <x:c r="L10" s="37" t="str">
        <x:f>IF(AND(H10="已核实",I10="是",ISNUMBER(F10),ISNUMBER(G10)),ROUND(D10*F10+G10,2),"")</x:f>
      </x:c>
      <x:c r="M10" s="34" t="str">
        <x:v>页面显示 ¥83.00；本次未读取到运费</x:v>
      </x:c>
      <x:c r="N10" s="38" t="str">
        <x:v>若已有可传数据的USB-C线，可不买</x:v>
      </x:c>
    </x:row>
    <x:row r="11" ht="58" customHeight="1">
      <x:c r="A11" s="33" t="str">
        <x:v>供电</x:v>
      </x:c>
      <x:c r="B11" s="34" t="str">
        <x:v>4×AA 镍氢电池与电池盒</x:v>
      </x:c>
      <x:c r="C11" s="34" t="str">
        <x:v>同品牌同容量，4节；另配4节电池盒</x:v>
      </x:c>
      <x:c r="D11" s="35" t="n">
        <x:v>1</x:v>
      </x:c>
      <x:c r="E11" s="35" t="str">
        <x:v>组</x:v>
      </x:c>
      <x:c r="F11" s="36"/>
      <x:c r="G11" s="36"/>
      <x:c r="H11" s="35" t="str">
        <x:v>待重新选品</x:v>
      </x:c>
      <x:c r="I11" s="35" t="str">
        <x:v>否</x:v>
      </x:c>
      <x:c r="J11" s="35" t="str">
        <x:v>—</x:v>
      </x:c>
      <x:c r="K11" s="34" t="str"/>
      <x:c r="L11" s="37" t="str">
        <x:f>IF(AND(H11="已核实",I11="是",ISNUMBER(F11),ISNUMBER(G11)),ROUND(D11*F11+G11,2),"")</x:f>
      </x:c>
      <x:c r="M11" s="34" t="str">
        <x:v>原链接实际落在7号电池选项，不能作为AA方案报价</x:v>
      </x:c>
      <x:c r="N11" s="38" t="str">
        <x:v>这是车体必需项，但没有可靠直达商品前不写价格</x:v>
      </x:c>
    </x:row>
    <x:row r="12" ht="58" customHeight="1">
      <x:c r="A12" s="33" t="str">
        <x:v>供电</x:v>
      </x:c>
      <x:c r="B12" s="34" t="str">
        <x:v>松下 AAA 7号碱性电池4节</x:v>
      </x:c>
      <x:c r="C12" s="34" t="str">
        <x:v>7号4节（仅用于原型短测）</x:v>
      </x:c>
      <x:c r="D12" s="35" t="n">
        <x:v>1</x:v>
      </x:c>
      <x:c r="E12" s="35" t="str">
        <x:v>组</x:v>
      </x:c>
      <x:c r="F12" s="36" t="n">
        <x:v>22.13</x:v>
      </x:c>
      <x:c r="G12" s="36"/>
      <x:c r="H12" s="35" t="str">
        <x:v>已核单价/待核运费</x:v>
      </x:c>
      <x:c r="I12" s="35" t="str">
        <x:v>否</x:v>
      </x:c>
      <x:c r="J12" s="35" t="str">
        <x:v>京东</x:v>
      </x:c>
      <x:c r="K12" s="34" t="str">
        <x:v>https://item.jd.com/10141652671465.html</x:v>
      </x:c>
      <x:c r="L12" s="37" t="str">
        <x:f>IF(AND(H12="已核实",I12="是",ISNUMBER(F12),ISNUMBER(G12)),ROUND(D12*F12+G12,2),"")</x:f>
      </x:c>
      <x:c r="M12" s="34" t="str">
        <x:v>当前页面标题与价格为“7号4节”，¥22.13</x:v>
      </x:c>
      <x:c r="N12" s="38" t="str">
        <x:v>正式方案应换4节AAA镍氢充电电池，并另配4节电池盒</x:v>
      </x:c>
    </x:row>
    <x:row r="13" ht="58" customHeight="1">
      <x:c r="A13" s="33" t="str">
        <x:v>抗干扰</x:v>
      </x:c>
      <x:c r="B13" s="34" t="str">
        <x:v>104 100nF 50V 陶瓷电容100只</x:v>
      </x:c>
      <x:c r="C13" s="34" t="str">
        <x:v>100nF/0.1µF，50V，引脚间距约5mm</x:v>
      </x:c>
      <x:c r="D13" s="35" t="n">
        <x:v>1</x:v>
      </x:c>
      <x:c r="E13" s="35" t="str">
        <x:v>包</x:v>
      </x:c>
      <x:c r="F13" s="36"/>
      <x:c r="G13" s="36"/>
      <x:c r="H13" s="35" t="str">
        <x:v>价格未核实</x:v>
      </x:c>
      <x:c r="I13" s="35" t="str">
        <x:v>否</x:v>
      </x:c>
      <x:c r="J13" s="35" t="str">
        <x:v>AliExpress</x:v>
      </x:c>
      <x:c r="K13" s="34" t="str">
        <x:v>https://www.aliexpress.com/item/32375639403.html</x:v>
      </x:c>
      <x:c r="L13" s="37" t="str">
        <x:f>IF(AND(H13="已核实",I13="是",ISNUMBER(F13),ISNUMBER(G13)),ROUND(D13*F13+G13,2),"")</x:f>
      </x:c>
      <x:c r="M13" s="34" t="str">
        <x:v>本次未取得稳定的人民币到手价</x:v>
      </x:c>
      <x:c r="N13" s="38" t="str">
        <x:v>每台电机两端焊1只；不要使用原先 ¥15 估价</x:v>
      </x:c>
    </x:row>
    <x:row r="14" ht="58" customHeight="1">
      <x:c r="A14" s="33" t="str">
        <x:v>调试工具</x:v>
      </x:c>
      <x:c r="B14" s="34" t="str">
        <x:v>兆信 KXB-325DW 可调直流稳压电源</x:v>
      </x:c>
      <x:c r="C14" s="34" t="str">
        <x:v>标配+输出线，需支持恒流限流</x:v>
      </x:c>
      <x:c r="D14" s="35" t="n">
        <x:v>1</x:v>
      </x:c>
      <x:c r="E14" s="35" t="str">
        <x:v>台</x:v>
      </x:c>
      <x:c r="F14" s="36" t="n">
        <x:v>389</x:v>
      </x:c>
      <x:c r="G14" s="36"/>
      <x:c r="H14" s="35" t="str">
        <x:v>已核单价/待核运费</x:v>
      </x:c>
      <x:c r="I14" s="35" t="str">
        <x:v>按需</x:v>
      </x:c>
      <x:c r="J14" s="35" t="str">
        <x:v>京东</x:v>
      </x:c>
      <x:c r="K14" s="34" t="str">
        <x:v>https://item.jd.com/11990835108.html</x:v>
      </x:c>
      <x:c r="L14" s="37" t="str">
        <x:f>IF(AND(H14="已核实",I14="是",ISNUMBER(F14),ISNUMBER(G14)),ROUND(D14*F14+G14,2),"")</x:f>
      </x:c>
      <x:c r="M14" s="34" t="str">
        <x:v>页面显示 ¥389.00；本次未读取到运费</x:v>
      </x:c>
      <x:c r="N14" s="38" t="str">
        <x:v>已有可靠限流电源可不买</x:v>
      </x:c>
    </x:row>
    <x:row r="15" ht="58" customHeight="1">
      <x:c r="A15" s="33" t="str">
        <x:v>调试工具</x:v>
      </x:c>
      <x:c r="B15" s="34" t="str">
        <x:v>优利德 UT890D+ 数字万用表</x:v>
      </x:c>
      <x:c r="C15" s="34" t="str">
        <x:v>真有效值、直流电流档、通断档</x:v>
      </x:c>
      <x:c r="D15" s="35" t="n">
        <x:v>1</x:v>
      </x:c>
      <x:c r="E15" s="35" t="str">
        <x:v>台</x:v>
      </x:c>
      <x:c r="F15" s="36" t="n">
        <x:v>127</x:v>
      </x:c>
      <x:c r="G15" s="36"/>
      <x:c r="H15" s="35" t="str">
        <x:v>已核单价/待核运费</x:v>
      </x:c>
      <x:c r="I15" s="35" t="str">
        <x:v>按需</x:v>
      </x:c>
      <x:c r="J15" s="35" t="str">
        <x:v>京东</x:v>
      </x:c>
      <x:c r="K15" s="34" t="str">
        <x:v>https://item.jd.com/100164052612.html</x:v>
      </x:c>
      <x:c r="L15" s="37" t="str">
        <x:f>IF(AND(H15="已核实",I15="是",ISNUMBER(F15),ISNUMBER(G15)),ROUND(D15*F15+G15,2),"")</x:f>
      </x:c>
      <x:c r="M15" s="34" t="str">
        <x:v>页面显示 ¥127.00；本次未读取到运费</x:v>
      </x:c>
      <x:c r="N15" s="38" t="str">
        <x:v>已有可靠万用表可不买</x:v>
      </x:c>
    </x:row>
    <x:row r="16" ht="58" customHeight="1">
      <x:c r="A16" s="39" t="str">
        <x:v>焊接工具</x:v>
      </x:c>
      <x:c r="B16" s="40" t="str">
        <x:v>得力 DL-HT936 60W 控温焊台</x:v>
      </x:c>
      <x:c r="C16" s="40" t="str">
        <x:v>60W旋钮调温，936型</x:v>
      </x:c>
      <x:c r="D16" s="41" t="n">
        <x:v>1</x:v>
      </x:c>
      <x:c r="E16" s="41" t="str">
        <x:v>台</x:v>
      </x:c>
      <x:c r="F16" s="42"/>
      <x:c r="G16" s="42"/>
      <x:c r="H16" s="41" t="str">
        <x:v>价格未显示</x:v>
      </x:c>
      <x:c r="I16" s="41" t="str">
        <x:v>按需</x:v>
      </x:c>
      <x:c r="J16" s="41" t="str">
        <x:v>京东</x:v>
      </x:c>
      <x:c r="K16" s="40" t="str">
        <x:v>https://item.jd.com/100057797828.html</x:v>
      </x:c>
      <x:c r="L16" s="43" t="str">
        <x:f>IF(AND(H16="已核实",I16="是",ISNUMBER(F16),ISNUMBER(G16)),ROUND(D16*F16+G16,2),"")</x:f>
      </x:c>
      <x:c r="M16" s="40" t="str">
        <x:v>页面标题匹配，但本次未读取到有效价格</x:v>
      </x:c>
      <x:c r="N16" s="44" t="str">
        <x:v>原先 ¥169 为估价，已删除</x:v>
      </x:c>
    </x:row>
    <x:row r="17">
      <x:c r="A17" s="26" t="str">
        <x:v>当前已完整核实并计入预算的到手合计</x:v>
      </x:c>
      <x:c r="B17" s="27"/>
      <x:c r="C17" s="27"/>
      <x:c r="D17" s="27"/>
      <x:c r="E17" s="27"/>
      <x:c r="F17" s="28"/>
      <x:c r="G17" s="28"/>
      <x:c r="H17" s="27"/>
      <x:c r="I17" s="27"/>
      <x:c r="J17" s="27"/>
      <x:c r="K17" s="27"/>
      <x:c r="L17" s="28" t="n">
        <x:f>ROUND(SUM(L5:L16),2)</x:f>
        <x:v>39.03</x:v>
      </x:c>
      <x:c r="M17" s="27" t="str">
        <x:v>未核实项目必须补齐页面价和运费后，才能加入最终采购总额。</x:v>
      </x:c>
      <x:c r="N17" s="29"/>
    </x:row>
  </x:sheetData>
  <x:mergeCells>
    <x:mergeCell ref="A1:N1"/>
    <x:mergeCell ref="A2:N2"/>
    <x:mergeCell ref="A17:K17"/>
    <x:mergeCell ref="M17:N17"/>
  </x:mergeCells>
  <x:conditionalFormatting sqref="H5:H16">
    <x:cfRule type="containsText" dxfId="0" priority="1" operator="containsText" text="已核实"/>
    <x:cfRule type="containsText" dxfId="1" priority="2" operator="containsText" text="未显示"/>
    <x:cfRule type="containsText" dxfId="2" priority="3" operator="containsText" text="失效"/>
    <x:cfRule type="containsText" dxfId="3" priority="4" operator="containsText" text="待"/>
  </x:conditionalFormatting>
  <x:dataValidations count="2">
    <x:dataValidation type="list" sqref="I5:I16">
      <x:formula1>"是,否,按需"</x:formula1>
    </x:dataValidation>
    <x:dataValidation type="list" sqref="H5:H16">
      <x:formula1>"已核实,已核单价/待核运费,价格未显示,价格未核实,链接失效,待重新选品"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e67dc1bb948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8" hidden="0" customWidth="1"/>
  </x:cols>
  <x:sheetData>
    <x:row r="1" ht="34" customHeight="1">
      <x:c r="A1" s="47" t="str">
        <x:v>核价口径与下单规则</x:v>
      </x:c>
      <x:c r="B1" s="47"/>
      <x:c r="C1" s="47"/>
      <x:c r="D1" s="47"/>
      <x:c r="E1" s="47"/>
      <x:c r="F1" s="47"/>
    </x:row>
    <x:row r="3">
      <x:c r="A3" s="9" t="str">
        <x:v>主题</x:v>
      </x:c>
      <x:c r="B3" s="9" t="str">
        <x:v>规则</x:v>
      </x:c>
      <x:c r="C3" s="9" t="str">
        <x:v>原因</x:v>
      </x:c>
    </x:row>
    <x:row r="4" ht="48" customHeight="1">
      <x:c r="A4" s="79" t="str">
        <x:v>页面单价</x:v>
      </x:c>
      <x:c r="B4" s="80" t="str">
        <x:v>只写本次在商品详情页直接看到的所选规格价格</x:v>
      </x:c>
      <x:c r="C4" s="81" t="str">
        <x:v>避免把市场估价误认为指定商品价格</x:v>
      </x:c>
    </x:row>
    <x:row r="5" ht="48" customHeight="1">
      <x:c r="A5" s="33" t="str">
        <x:v>基础运费</x:v>
      </x:c>
      <x:c r="B5" s="34" t="str">
        <x:v>只有页面明确包邮或满足免邮门槛时才写0；未显示则留空</x:v>
      </x:c>
      <x:c r="C5" s="38" t="str">
        <x:v>地区、会员、店铺和订单金额都会影响运费</x:v>
      </x:c>
    </x:row>
    <x:row r="6" ht="48" customHeight="1">
      <x:c r="A6" s="33" t="str">
        <x:v>到手小计</x:v>
      </x:c>
      <x:c r="B6" s="34" t="str">
        <x:v>仅“已核实”且“计入当前预算=是”时自动计算</x:v>
      </x:c>
      <x:c r="C6" s="38" t="str">
        <x:v>价格或运费缺一项时不制造虚假的精确总价</x:v>
      </x:c>
    </x:row>
    <x:row r="7" ht="48" customHeight="1">
      <x:c r="A7" s="33" t="str">
        <x:v>SKU</x:v>
      </x:c>
      <x:c r="B7" s="34" t="str">
        <x:v>同一详情页切换规格后，记录切换后的具体SKU链接</x:v>
      </x:c>
      <x:c r="C7" s="38" t="str">
        <x:v>详情页默认选项可能与清单要求不同</x:v>
      </x:c>
    </x:row>
    <x:row r="8" ht="48" customHeight="1">
      <x:c r="A8" s="33" t="str">
        <x:v>价格有效期</x:v>
      </x:c>
      <x:c r="B8" s="34" t="str">
        <x:v>本次核价日期为 2026-08-02</x:v>
      </x:c>
      <x:c r="C8" s="38" t="str">
        <x:v>电商价格和库存会变化，下单前需在结算页复核</x:v>
      </x:c>
    </x:row>
    <x:row r="9" ht="48" customHeight="1">
      <x:c r="A9" s="39" t="str">
        <x:v>当前预算</x:v>
      </x:c>
      <x:c r="B9" s="40" t="str">
        <x:v>¥39.03 只覆盖两块ESP32-C3与一套2WD迷你全套</x:v>
      </x:c>
      <x:c r="C9" s="44" t="str">
        <x:v>它不是完整可开工预算；其余必需项尚待完成核价</x:v>
      </x:c>
    </x:row>
  </x:sheetData>
  <x:mergeCells>
    <x:mergeCell ref="A1:F1"/>
  </x:mergeCells>
  <x:pageMargins left="0.7" right="0.7" top="0.75" bottom="0.75" header="0.3" footer="0.3"/>
</x:worksheet>
</file>