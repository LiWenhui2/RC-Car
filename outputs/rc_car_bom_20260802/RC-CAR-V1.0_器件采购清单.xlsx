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ab7f053504b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总览" sheetId="1" r:id="Rf86326488f114507"/>
    <x:sheet xmlns:r="http://schemas.openxmlformats.org/officeDocument/2006/relationships" name="器件清单" sheetId="2" r:id="Rbe38de1c28184723"/>
    <x:sheet xmlns:r="http://schemas.openxmlformats.org/officeDocument/2006/relationships" name="选型与采购说明" sheetId="3" r:id="Rf494e96fd15a46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¥#,##0.00"/>
    <x:numFmt numFmtId="202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8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</x:fills>
  <x:borders count="13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medium">
        <x:color rgb="FF70AD47"/>
      </x:left>
      <x:top style="medium">
        <x:color rgb="FF70AD47"/>
      </x:top>
      <x:bottom style="medium">
        <x:color rgb="FF70AD47"/>
      </x:bottom>
    </x:border>
    <x:border>
      <x:top style="medium">
        <x:color rgb="FF70AD47"/>
      </x:top>
      <x:bottom style="medium">
        <x:color rgb="FF70AD47"/>
      </x:bottom>
    </x:border>
    <x:border>
      <x:right style="medium">
        <x:color rgb="FF70AD47"/>
      </x:right>
      <x:top style="medium">
        <x:color rgb="FF70AD47"/>
      </x:top>
      <x:bottom style="medium">
        <x:color rgb="FF70AD47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4" fillId="5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4" fillId="5" borderId="11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200" fontId="0" fillId="0" borderId="5" xfId="0" applyNumberFormat="1" applyFont="1" applyFill="1" applyBorder="1" applyAlignment="1">
      <x:alignment vertical="top"/>
    </x:xf>
    <x:xf numFmtId="201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200" fontId="0" fillId="0" borderId="8" xfId="0" applyNumberFormat="1" applyFont="1" applyFill="1" applyBorder="1" applyAlignment="1">
      <x:alignment vertical="top"/>
    </x:xf>
    <x:xf numFmtId="201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4" fillId="5" borderId="10" xfId="0" applyNumberFormat="1" applyFont="1" applyFill="1" applyBorder="1" applyAlignment="1">
      <x:alignment vertical="top"/>
    </x:xf>
    <x:xf numFmtId="0" fontId="4" fillId="5" borderId="11" xfId="0" applyNumberFormat="1" applyFont="1" applyFill="1" applyBorder="1" applyAlignment="1">
      <x:alignment vertical="top"/>
    </x:xf>
    <x:xf numFmtId="200" fontId="4" fillId="5" borderId="11" xfId="0" applyNumberFormat="1" applyFont="1" applyFill="1" applyBorder="1" applyAlignment="1">
      <x:alignment vertical="top"/>
    </x:xf>
    <x:xf numFmtId="201" fontId="4" fillId="5" borderId="11" xfId="0" applyNumberFormat="1" applyFont="1" applyFill="1" applyBorder="1" applyAlignment="1">
      <x:alignment vertical="top"/>
    </x:xf>
    <x:xf numFmtId="0" fontId="4" fillId="5" borderId="12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202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202" fontId="0" fillId="7" borderId="9" xfId="0" applyNumberFormat="1" applyFont="1" applyFill="1" applyBorder="1"/>
    <x:xf numFmtId="0" fontId="0" fillId="7" borderId="9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201" fontId="0" fillId="7" borderId="3" xfId="0" applyNumberFormat="1" applyFont="1" applyFill="1" applyBorder="1"/>
    <x:xf numFmtId="201" fontId="0" fillId="7" borderId="6" xfId="0" applyNumberFormat="1" applyFont="1" applyFill="1" applyBorder="1"/>
    <x:xf numFmtId="201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201" fontId="0" fillId="7" borderId="3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/>
    </x:xf>
    <x:xf numFmtId="201" fontId="0" fillId="7" borderId="6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/>
    </x:xf>
    <x:xf numFmtId="0" fontId="0" fillId="7" borderId="7" xfId="0" applyNumberFormat="1" applyFont="1" applyFill="1" applyBorder="1" applyAlignment="1">
      <x:alignment vertical="center"/>
    </x:xf>
    <x:xf numFmtId="202" fontId="0" fillId="7" borderId="9" xfId="0" applyNumberFormat="1" applyFont="1" applyFill="1" applyBorder="1" applyAlignment="1">
      <x:alignment vertical="center"/>
    </x:xf>
    <x:xf numFmtId="0" fontId="0" fillId="7" borderId="7" xfId="0" applyNumberFormat="1" applyFont="1" applyFill="1" applyBorder="1" applyAlignment="1">
      <x:alignment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7F7F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2716da48514276" /><Relationship Type="http://schemas.openxmlformats.org/officeDocument/2006/relationships/theme" Target="/xl/theme/theme1.xml" Id="Ra2651af206424ffe" /><Relationship Type="http://schemas.openxmlformats.org/officeDocument/2006/relationships/sharedStrings" Target="/xl/sharedStrings.xml" Id="R3d0a7c8b214546d8" /><Relationship Type="http://schemas.openxmlformats.org/officeDocument/2006/relationships/worksheet" Target="/xl/worksheets/sheet1.xml" Id="Rf86326488f114507" /><Relationship Type="http://schemas.openxmlformats.org/officeDocument/2006/relationships/worksheet" Target="/xl/worksheets/sheet2.xml" Id="Rbe38de1c28184723" /><Relationship Type="http://schemas.openxmlformats.org/officeDocument/2006/relationships/worksheet" Target="/xl/worksheets/sheet3.xml" Id="Rf494e96fd15a4685" /></Relationships>
</file>

<file path=xl/tables/table1.xml><?xml version="1.0" encoding="utf-8"?>
<x:table xmlns:x="http://schemas.openxmlformats.org/spreadsheetml/2006/main" id="1" name="RcCarBomTable" displayName="RcCarBomTable" ref="A4:M36" headerRowCount="1" totalsRowCount="0" totalsRowShown="0">
  <x:tableColumns count="13">
    <x:tableColumn id="1" name="类别"/>
    <x:tableColumn id="2" name="器件名称"/>
    <x:tableColumn id="3" name="建议规格/型号"/>
    <x:tableColumn id="4" name="数量"/>
    <x:tableColumn id="5" name="单位"/>
    <x:tableColumn id="6" name="参考单价(元)"/>
    <x:tableColumn id="7" name="是否计入当前预算"/>
    <x:tableColumn id="8" name="采购阶段"/>
    <x:tableColumn id="9" name="推荐平台"/>
    <x:tableColumn id="10" name="购买/搜索链接"/>
    <x:tableColumn id="11" name="小计(元)"/>
    <x:tableColumn id="12" name="选型与验收要点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4a4e202f524d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2" hidden="0" customWidth="1"/>
    <x:col min="4" max="4" width="16" hidden="0" customWidth="1"/>
    <x:col min="5" max="5" width="48" hidden="0" customWidth="1"/>
  </x:cols>
  <x:sheetData>
    <x:row r="1" ht="34" customHeight="1">
      <x:c r="A1" s="69" t="str">
        <x:v>RC-CAR-V1.0 采购预算总览</x:v>
      </x:c>
      <x:c r="B1" s="69"/>
      <x:c r="C1" s="69"/>
      <x:c r="D1" s="69"/>
      <x:c r="E1" s="69"/>
      <x:c r="F1" s="69"/>
      <x:c r="G1" s="69"/>
      <x:c r="H1" s="69"/>
    </x:row>
    <x:row r="2">
      <x:c r="A2" s="92"/>
      <x:c r="B2" s="92"/>
      <x:c r="C2" s="92"/>
      <x:c r="D2" s="92"/>
      <x:c r="E2" s="92"/>
      <x:c r="F2" s="92"/>
      <x:c r="G2" s="92"/>
      <x:c r="H2" s="92"/>
    </x:row>
    <x:row r="3">
      <x:c r="A3" s="93" t="str">
        <x:v>项目</x:v>
      </x:c>
      <x:c r="B3" s="93" t="str">
        <x:v>金额/数量</x:v>
      </x:c>
      <x:c r="C3" s="92"/>
      <x:c r="D3" s="93" t="str">
        <x:v>采购优先级</x:v>
      </x:c>
      <x:c r="E3" s="93" t="str">
        <x:v>建议</x:v>
      </x:c>
      <x:c r="F3" s="92"/>
      <x:c r="G3" s="92"/>
      <x:c r="H3" s="92"/>
    </x:row>
    <x:row r="4">
      <x:c r="A4" s="94" t="str">
        <x:v>当前必买预算</x:v>
      </x:c>
      <x:c r="B4" s="95" t="n">
        <x:f>SUM('器件清单'!K5:K36)</x:f>
        <x:v>559</x:v>
      </x:c>
      <x:c r="C4" s="92"/>
      <x:c r="D4" s="96" t="str">
        <x:v>1</x:v>
      </x:c>
      <x:c r="E4" s="97" t="str">
        <x:v>先购买首批原型必买项</x:v>
      </x:c>
      <x:c r="F4" s="92"/>
      <x:c r="G4" s="92"/>
      <x:c r="H4" s="92"/>
    </x:row>
    <x:row r="5">
      <x:c r="A5" s="98" t="str">
        <x:v>如同时购买按需工具</x:v>
      </x:c>
      <x:c r="B5" s="99" t="n">
        <x:f>SUMPRODUCT(('器件清单'!G5:G36="是")+('器件清单'!G5:G36="按需"),'器件清单'!D5:D36,'器件清单'!F5:F36)</x:f>
        <x:v>1279</x:v>
      </x:c>
      <x:c r="C5" s="92"/>
      <x:c r="D5" s="100" t="str">
        <x:v>2</x:v>
      </x:c>
      <x:c r="E5" s="101" t="str">
        <x:v>收到电机后实测空载及堵转电流</x:v>
      </x:c>
      <x:c r="F5" s="92"/>
      <x:c r="G5" s="92"/>
      <x:c r="H5" s="92"/>
    </x:row>
    <x:row r="6">
      <x:c r="A6" s="98" t="str">
        <x:v>完整清单预算</x:v>
      </x:c>
      <x:c r="B6" s="99" t="n">
        <x:f>SUMPRODUCT('器件清单'!D5:D36,'器件清单'!F5:F36)</x:f>
        <x:v>1777</x:v>
      </x:c>
      <x:c r="C6" s="92"/>
      <x:c r="D6" s="100" t="str">
        <x:v>3</x:v>
      </x:c>
      <x:c r="E6" s="101" t="str">
        <x:v>有线原型通过后再做无线</x:v>
      </x:c>
      <x:c r="F6" s="92"/>
      <x:c r="G6" s="92"/>
      <x:c r="H6" s="92"/>
    </x:row>
    <x:row r="7">
      <x:c r="A7" s="98" t="str">
        <x:v>当前必买条目数</x:v>
      </x:c>
      <x:c r="B7" s="102" t="n">
        <x:f>COUNTIF('器件清单'!G5:G36,"是")</x:f>
        <x:v>19</x:v>
      </x:c>
      <x:c r="C7" s="92"/>
      <x:c r="D7" s="100" t="str">
        <x:v>4</x:v>
      </x:c>
      <x:c r="E7" s="101" t="str">
        <x:v>无线原型稳定后再买PCB物料</x:v>
      </x:c>
      <x:c r="F7" s="92"/>
      <x:c r="G7" s="92"/>
      <x:c r="H7" s="92"/>
    </x:row>
    <x:row r="8">
      <x:c r="A8" s="103" t="str">
        <x:v>查询日期</x:v>
      </x:c>
      <x:c r="B8" s="104" t="n">
        <x:v>46236</x:v>
      </x:c>
      <x:c r="C8" s="92"/>
      <x:c r="D8" s="100" t="str">
        <x:v>5</x:v>
      </x:c>
      <x:c r="E8" s="101" t="str">
        <x:v>已有工具不要重复购买</x:v>
      </x:c>
      <x:c r="F8" s="92"/>
      <x:c r="G8" s="92"/>
      <x:c r="H8" s="92"/>
    </x:row>
    <x:row r="9">
      <x:c r="A9" s="92"/>
      <x:c r="B9" s="92"/>
      <x:c r="C9" s="92"/>
      <x:c r="D9" s="105" t="str">
        <x:v>预算口径</x:v>
      </x:c>
      <x:c r="E9" s="106" t="str">
        <x:v>当前必买预算不含工具、PCB物料及运费</x:v>
      </x:c>
      <x:c r="F9" s="92"/>
      <x:c r="G9" s="92"/>
      <x:c r="H9" s="92"/>
    </x:row>
    <x:row r="10">
      <x:c r="A10" s="92"/>
      <x:c r="B10" s="92"/>
      <x:c r="C10" s="92"/>
      <x:c r="D10" s="92"/>
      <x:c r="E10" s="92"/>
      <x:c r="F10" s="92"/>
      <x:c r="G10" s="92"/>
      <x:c r="H10" s="92"/>
    </x:row>
    <x:row r="11">
      <x:c r="A11" s="107" t="str">
        <x:v>类别</x:v>
      </x:c>
      <x:c r="B11" s="107" t="str">
        <x:v>当前必买预算(元)</x:v>
      </x:c>
      <x:c r="C11" s="107" t="str">
        <x:v>条目数</x:v>
      </x:c>
      <x:c r="D11" s="92"/>
      <x:c r="E11" s="92"/>
      <x:c r="F11" s="92"/>
      <x:c r="G11" s="92"/>
      <x:c r="H11" s="92"/>
    </x:row>
    <x:row r="12">
      <x:c r="A12" s="108" t="str">
        <x:v>原型电子</x:v>
      </x:c>
      <x:c r="B12" s="109" t="n">
        <x:f>SUMIFS('器件清单'!K5:K36,'器件清单'!A5:A36,A12)</x:f>
        <x:v>70</x:v>
      </x:c>
      <x:c r="C12" s="110" t="n">
        <x:f>COUNTIFS('器件清单'!A5:A36,A12,'器件清单'!G5:G36,"是")</x:f>
        <x:v>2</x:v>
      </x:c>
      <x:c r="D12" s="92"/>
      <x:c r="E12" s="92"/>
      <x:c r="F12" s="92"/>
      <x:c r="G12" s="92"/>
      <x:c r="H12" s="92"/>
    </x:row>
    <x:row r="13">
      <x:c r="A13" s="111" t="str">
        <x:v>动力系统</x:v>
      </x:c>
      <x:c r="B13" s="112" t="n">
        <x:f>SUMIFS('器件清单'!K5:K36,'器件清单'!A5:A36,A13)</x:f>
        <x:v>99</x:v>
      </x:c>
      <x:c r="C13" s="113" t="n">
        <x:f>COUNTIFS('器件清单'!A5:A36,A13,'器件清单'!G5:G36,"是")</x:f>
        <x:v>2</x:v>
      </x:c>
      <x:c r="D13" s="92"/>
      <x:c r="E13" s="92"/>
      <x:c r="F13" s="92"/>
      <x:c r="G13" s="92"/>
      <x:c r="H13" s="92"/>
    </x:row>
    <x:row r="14">
      <x:c r="A14" s="111" t="str">
        <x:v>机械结构</x:v>
      </x:c>
      <x:c r="B14" s="112" t="n">
        <x:f>SUMIFS('器件清单'!K5:K36,'器件清单'!A5:A36,A14)</x:f>
        <x:v>81</x:v>
      </x:c>
      <x:c r="C14" s="113" t="n">
        <x:f>COUNTIFS('器件清单'!A5:A36,A14,'器件清单'!G5:G36,"是")</x:f>
        <x:v>4</x:v>
      </x:c>
      <x:c r="D14" s="92"/>
      <x:c r="E14" s="92"/>
      <x:c r="F14" s="92"/>
      <x:c r="G14" s="92"/>
      <x:c r="H14" s="92"/>
    </x:row>
    <x:row r="15">
      <x:c r="A15" s="111" t="str">
        <x:v>遥控输入</x:v>
      </x:c>
      <x:c r="B15" s="112" t="n">
        <x:f>SUMIFS('器件清单'!K5:K36,'器件清单'!A5:A36,A15)</x:f>
        <x:v>8</x:v>
      </x:c>
      <x:c r="C15" s="113" t="n">
        <x:f>COUNTIFS('器件清单'!A5:A36,A15,'器件清单'!G5:G36,"是")</x:f>
        <x:v>1</x:v>
      </x:c>
      <x:c r="D15" s="92"/>
      <x:c r="E15" s="92"/>
      <x:c r="F15" s="92"/>
      <x:c r="G15" s="92"/>
      <x:c r="H15" s="92"/>
    </x:row>
    <x:row r="16">
      <x:c r="A16" s="111" t="str">
        <x:v>供电</x:v>
      </x:c>
      <x:c r="B16" s="112" t="n">
        <x:f>SUMIFS('器件清单'!K5:K36,'器件清单'!A5:A36,A16)</x:f>
        <x:v>203</x:v>
      </x:c>
      <x:c r="C16" s="113" t="n">
        <x:f>COUNTIFS('器件清单'!A5:A36,A16,'器件清单'!G5:G36,"是")</x:f>
        <x:v>5</x:v>
      </x:c>
      <x:c r="D16" s="92"/>
      <x:c r="E16" s="92"/>
      <x:c r="F16" s="92"/>
      <x:c r="G16" s="92"/>
      <x:c r="H16" s="92"/>
    </x:row>
    <x:row r="17">
      <x:c r="A17" s="111" t="str">
        <x:v>原型连接</x:v>
      </x:c>
      <x:c r="B17" s="112" t="n">
        <x:f>SUMIFS('器件清单'!K5:K36,'器件清单'!A5:A36,A17)</x:f>
        <x:v>33</x:v>
      </x:c>
      <x:c r="C17" s="113" t="n">
        <x:f>COUNTIFS('器件清单'!A5:A36,A17,'器件清单'!G5:G36,"是")</x:f>
        <x:v>2</x:v>
      </x:c>
      <x:c r="D17" s="92"/>
      <x:c r="E17" s="92"/>
      <x:c r="F17" s="92"/>
      <x:c r="G17" s="92"/>
      <x:c r="H17" s="92"/>
    </x:row>
    <x:row r="18">
      <x:c r="A18" s="111" t="str">
        <x:v>调试连接</x:v>
      </x:c>
      <x:c r="B18" s="112" t="n">
        <x:f>SUMIFS('器件清单'!K5:K36,'器件清单'!A5:A36,A18)</x:f>
        <x:v>30</x:v>
      </x:c>
      <x:c r="C18" s="113" t="n">
        <x:f>COUNTIFS('器件清单'!A5:A36,A18,'器件清单'!G5:G36,"是")</x:f>
        <x:v>1</x:v>
      </x:c>
      <x:c r="D18" s="92"/>
      <x:c r="E18" s="92"/>
      <x:c r="F18" s="92"/>
      <x:c r="G18" s="92"/>
      <x:c r="H18" s="92"/>
    </x:row>
    <x:row r="19">
      <x:c r="A19" s="111" t="str">
        <x:v>抗干扰</x:v>
      </x:c>
      <x:c r="B19" s="112" t="n">
        <x:f>SUMIFS('器件清单'!K5:K36,'器件清单'!A5:A36,A19)</x:f>
        <x:v>5</x:v>
      </x:c>
      <x:c r="C19" s="113" t="n">
        <x:f>COUNTIFS('器件清单'!A5:A36,A19,'器件清单'!G5:G36,"是")</x:f>
        <x:v>1</x:v>
      </x:c>
      <x:c r="D19" s="92"/>
      <x:c r="E19" s="92"/>
      <x:c r="F19" s="92"/>
      <x:c r="G19" s="92"/>
      <x:c r="H19" s="92"/>
    </x:row>
    <x:row r="20">
      <x:c r="A20" s="111" t="str">
        <x:v>线材固定</x:v>
      </x:c>
      <x:c r="B20" s="112" t="n">
        <x:f>SUMIFS('器件清单'!K5:K36,'器件清单'!A5:A36,A20)</x:f>
        <x:v>30</x:v>
      </x:c>
      <x:c r="C20" s="113" t="n">
        <x:f>COUNTIFS('器件清单'!A5:A36,A20,'器件清单'!G5:G36,"是")</x:f>
        <x:v>1</x:v>
      </x:c>
      <x:c r="D20" s="92"/>
      <x:c r="E20" s="92"/>
      <x:c r="F20" s="92"/>
      <x:c r="G20" s="92"/>
      <x:c r="H20" s="92"/>
    </x:row>
    <x:row r="21">
      <x:c r="A21" s="111" t="str">
        <x:v>调试工具</x:v>
      </x:c>
      <x:c r="B21" s="112" t="n">
        <x:f>SUMIFS('器件清单'!K5:K36,'器件清单'!A5:A36,A21)</x:f>
        <x:v>0</x:v>
      </x:c>
      <x:c r="C21" s="113" t="n">
        <x:f>COUNTIFS('器件清单'!A5:A36,A21,'器件清单'!G5:G36,"是")</x:f>
        <x:v>0</x:v>
      </x:c>
      <x:c r="D21" s="92"/>
      <x:c r="E21" s="92"/>
      <x:c r="F21" s="92"/>
      <x:c r="G21" s="92"/>
      <x:c r="H21" s="92"/>
    </x:row>
    <x:row r="22">
      <x:c r="A22" s="111" t="str">
        <x:v>焊接工具</x:v>
      </x:c>
      <x:c r="B22" s="112" t="n">
        <x:f>SUMIFS('器件清单'!K5:K36,'器件清单'!A5:A36,A22)</x:f>
        <x:v>0</x:v>
      </x:c>
      <x:c r="C22" s="113" t="n">
        <x:f>COUNTIFS('器件清单'!A5:A36,A22,'器件清单'!G5:G36,"是")</x:f>
        <x:v>0</x:v>
      </x:c>
      <x:c r="D22" s="92"/>
      <x:c r="E22" s="92"/>
      <x:c r="F22" s="92"/>
      <x:c r="G22" s="92"/>
      <x:c r="H22" s="92"/>
    </x:row>
    <x:row r="23">
      <x:c r="A23" s="111" t="str">
        <x:v>焊接耗材</x:v>
      </x:c>
      <x:c r="B23" s="112" t="n">
        <x:f>SUMIFS('器件清单'!K5:K36,'器件清单'!A5:A36,A23)</x:f>
        <x:v>0</x:v>
      </x:c>
      <x:c r="C23" s="113" t="n">
        <x:f>COUNTIFS('器件清单'!A5:A36,A23,'器件清单'!G5:G36,"是")</x:f>
        <x:v>0</x:v>
      </x:c>
      <x:c r="D23" s="92"/>
      <x:c r="E23" s="92"/>
      <x:c r="F23" s="92"/>
      <x:c r="G23" s="92"/>
      <x:c r="H23" s="92"/>
    </x:row>
    <x:row r="24">
      <x:c r="A24" s="111" t="str">
        <x:v>机械工具</x:v>
      </x:c>
      <x:c r="B24" s="112" t="n">
        <x:f>SUMIFS('器件清单'!K5:K36,'器件清单'!A5:A36,A24)</x:f>
        <x:v>0</x:v>
      </x:c>
      <x:c r="C24" s="113" t="n">
        <x:f>COUNTIFS('器件清单'!A5:A36,A24,'器件清单'!G5:G36,"是")</x:f>
        <x:v>0</x:v>
      </x:c>
      <x:c r="D24" s="92"/>
      <x:c r="E24" s="92"/>
      <x:c r="F24" s="92"/>
      <x:c r="G24" s="92"/>
      <x:c r="H24" s="92"/>
    </x:row>
    <x:row r="25">
      <x:c r="A25" s="111" t="str">
        <x:v>PCB物料</x:v>
      </x:c>
      <x:c r="B25" s="112" t="n">
        <x:f>SUMIFS('器件清单'!K5:K36,'器件清单'!A5:A36,A25)</x:f>
        <x:v>0</x:v>
      </x:c>
      <x:c r="C25" s="113" t="n">
        <x:f>COUNTIFS('器件清单'!A5:A36,A25,'器件清单'!G5:G36,"是")</x:f>
        <x:v>0</x:v>
      </x:c>
      <x:c r="D25" s="92"/>
      <x:c r="E25" s="92"/>
      <x:c r="F25" s="92"/>
      <x:c r="G25" s="92"/>
      <x:c r="H25" s="92"/>
    </x:row>
    <x:row r="26">
      <x:c r="A26" s="7" t="str">
        <x:v>PCB加工</x:v>
      </x:c>
      <x:c r="B26" s="41" t="n">
        <x:f>SUMIFS('器件清单'!K5:K36,'器件清单'!A5:A36,A26)</x:f>
        <x:v>0</x:v>
      </x:c>
      <x:c r="C26" s="9" t="n">
        <x:f>COUNTIFS('器件清单'!A5:A36,A26,'器件清单'!G5:G36,"是")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40" hidden="0" customWidth="1"/>
    <x:col min="4" max="4" width="8" hidden="0" customWidth="1"/>
    <x:col min="5" max="5" width="8" hidden="0" customWidth="1"/>
    <x:col min="6" max="6" width="14" hidden="0" customWidth="1"/>
    <x:col min="7" max="7" width="18" hidden="0" customWidth="1"/>
    <x:col min="8" max="8" width="14" hidden="0" customWidth="1"/>
    <x:col min="9" max="9" width="11" hidden="0" customWidth="1"/>
    <x:col min="10" max="10" width="46" hidden="0" customWidth="1"/>
    <x:col min="11" max="11" width="14" hidden="0" customWidth="1"/>
    <x:col min="12" max="12" width="42" hidden="0" customWidth="1"/>
    <x:col min="13" max="13" width="30" hidden="0" customWidth="1"/>
  </x:cols>
  <x:sheetData>
    <x:row r="1" ht="30" customHeight="1">
      <x:c r="A1" s="13" t="str">
        <x:v>RC-CAR-V1.0 器件采购清单（价格查询日：2026-08-02）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</x:row>
    <x:row r="2" ht="35" customHeight="1">
      <x:c r="A2" s="16" t="str">
        <x:v>说明：参考价为国内电商常见零售预算价，不含运费；链接优先使用搜索入口以降低失效风险，下单前请复核实时价格、规格和评价。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4" ht="34" customHeight="1">
      <x:c r="A4" s="29" t="str">
        <x:v>类别</x:v>
      </x:c>
      <x:c r="B4" s="30" t="str">
        <x:v>器件名称</x:v>
      </x:c>
      <x:c r="C4" s="30" t="str">
        <x:v>建议规格/型号</x:v>
      </x:c>
      <x:c r="D4" s="30" t="str">
        <x:v>数量</x:v>
      </x:c>
      <x:c r="E4" s="30" t="str">
        <x:v>单位</x:v>
      </x:c>
      <x:c r="F4" s="30" t="str">
        <x:v>参考单价(元)</x:v>
      </x:c>
      <x:c r="G4" s="30" t="str">
        <x:v>是否计入当前预算</x:v>
      </x:c>
      <x:c r="H4" s="30" t="str">
        <x:v>采购阶段</x:v>
      </x:c>
      <x:c r="I4" s="30" t="str">
        <x:v>推荐平台</x:v>
      </x:c>
      <x:c r="J4" s="30" t="str">
        <x:v>购买/搜索链接</x:v>
      </x:c>
      <x:c r="K4" s="30" t="str">
        <x:v>小计(元)</x:v>
      </x:c>
      <x:c r="L4" s="30" t="str">
        <x:v>选型与验收要点</x:v>
      </x:c>
      <x:c r="M4" s="31" t="str">
        <x:v>备注</x:v>
      </x:c>
    </x:row>
    <x:row r="5" ht="48" customHeight="1">
      <x:c r="A5" s="58" t="str">
        <x:v>原型电子</x:v>
      </x:c>
      <x:c r="B5" s="59" t="str">
        <x:v>ESP32-C3 开发板</x:v>
      </x:c>
      <x:c r="C5" s="59" t="str">
        <x:v>ESP32-C3 SuperMini，Type-C，4MB Flash，焊排针</x:v>
      </x:c>
      <x:c r="D5" s="45" t="n">
        <x:v>2</x:v>
      </x:c>
      <x:c r="E5" s="44" t="str">
        <x:v>块</x:v>
      </x:c>
      <x:c r="F5" s="46" t="n">
        <x:v>25</x:v>
      </x:c>
      <x:c r="G5" s="44" t="str">
        <x:v>是</x:v>
      </x:c>
      <x:c r="H5" s="44" t="str">
        <x:v>首批必买</x:v>
      </x:c>
      <x:c r="I5" s="44" t="str">
        <x:v>京东</x:v>
      </x:c>
      <x:c r="J5" s="44" t="str">
        <x:v>https://search.jd.com/Search?keyword=ESP32-C3%20SuperMini%20%E5%BC%80%E5%8F%91%E6%9D%BF%20Type-C%20%E7%84%8A%E6%8E%92%E9%92%88</x:v>
      </x:c>
      <x:c r="K5" s="46" t="n">
        <x:f>IF(G5="是",D5*F5,0)</x:f>
        <x:v>50</x:v>
      </x:c>
      <x:c r="L5" s="59" t="str">
        <x:v>不要误买普通 ESP32；确认可使用原生 USB/串口下载</x:v>
      </x:c>
      <x:c r="M5" s="62" t="str">
        <x:v>建议同店同批次购买</x:v>
      </x:c>
    </x:row>
    <x:row r="6" ht="48" customHeight="1">
      <x:c r="A6" s="58" t="str">
        <x:v>原型电子</x:v>
      </x:c>
      <x:c r="B6" s="59" t="str">
        <x:v>TB6612FNG 双路电机驱动模块</x:v>
      </x:c>
      <x:c r="C6" s="59" t="str">
        <x:v>VM 2.5–13.5V，逻辑 3.3V 兼容，焊排针</x:v>
      </x:c>
      <x:c r="D6" s="45" t="n">
        <x:v>2</x:v>
      </x:c>
      <x:c r="E6" s="44" t="str">
        <x:v>块</x:v>
      </x:c>
      <x:c r="F6" s="46" t="n">
        <x:v>10</x:v>
      </x:c>
      <x:c r="G6" s="44" t="str">
        <x:v>是</x:v>
      </x:c>
      <x:c r="H6" s="44" t="str">
        <x:v>首批必买</x:v>
      </x:c>
      <x:c r="I6" s="44" t="str">
        <x:v>京东</x:v>
      </x:c>
      <x:c r="J6" s="44" t="str">
        <x:v>https://search.jd.com/Search?keyword=TB6612FNG%20%E5%8F%8C%E8%B7%AF%E7%94%B5%E6%9C%BA%E9%A9%B1%E5%8A%A8%E6%A8%A1%E5%9D%97%20%E7%84%8A%E6%8E%92%E9%92%88</x:v>
      </x:c>
      <x:c r="K6" s="46" t="n">
        <x:f>IF(G6="是",D6*F6,0)</x:f>
        <x:v>20</x:v>
      </x:c>
      <x:c r="L6" s="59" t="str">
        <x:v>实际使用1块，另1块备件；STBY 引脚必须接主控</x:v>
      </x:c>
      <x:c r="M6" s="62" t="str">
        <x:v>先测电机堵转电流</x:v>
      </x:c>
    </x:row>
    <x:row r="7" ht="48" customHeight="1">
      <x:c r="A7" s="58" t="str">
        <x:v>动力系统</x:v>
      </x:c>
      <x:c r="B7" s="59" t="str">
        <x:v>N20 6V 金属减速电机</x:v>
      </x:c>
      <x:c r="C7" s="59" t="str">
        <x:v>6V，建议 100–300rpm，D形轴；堵转电流目标≤1A</x:v>
      </x:c>
      <x:c r="D7" s="45" t="n">
        <x:v>3</x:v>
      </x:c>
      <x:c r="E7" s="44" t="str">
        <x:v>个</x:v>
      </x:c>
      <x:c r="F7" s="46" t="n">
        <x:v>25</x:v>
      </x:c>
      <x:c r="G7" s="44" t="str">
        <x:v>是</x:v>
      </x:c>
      <x:c r="H7" s="44" t="str">
        <x:v>首批必买</x:v>
      </x:c>
      <x:c r="I7" s="44" t="str">
        <x:v>淘宝</x:v>
      </x:c>
      <x:c r="J7" s="44" t="str">
        <x:v>https://s.taobao.com/search?q=N20%206V%20%E9%87%91%E5%B1%9E%E5%87%8F%E9%80%9F%E7%94%B5%E6%9C%BA%20200rpm%20D%E8%BD%B4</x:v>
      </x:c>
      <x:c r="K7" s="46" t="n">
        <x:f>IF(G7="是",D7*F7,0)</x:f>
        <x:v>75</x:v>
      </x:c>
      <x:c r="L7" s="59" t="str">
        <x:v>实际使用2个，备1个；优先购买带参数曲线产品</x:v>
      </x:c>
      <x:c r="M7" s="62" t="str">
        <x:v>必须与轮毂、支架轴径匹配</x:v>
      </x:c>
    </x:row>
    <x:row r="8" ht="48" customHeight="1">
      <x:c r="A8" s="58" t="str">
        <x:v>动力系统</x:v>
      </x:c>
      <x:c r="B8" s="59" t="str">
        <x:v>N20 匹配轮胎</x:v>
      </x:c>
      <x:c r="C8" s="59" t="str">
        <x:v>轮径55–70mm，轮毂与电机D轴匹配</x:v>
      </x:c>
      <x:c r="D8" s="45" t="n">
        <x:v>2</x:v>
      </x:c>
      <x:c r="E8" s="44" t="str">
        <x:v>个</x:v>
      </x:c>
      <x:c r="F8" s="46" t="n">
        <x:v>12</x:v>
      </x:c>
      <x:c r="G8" s="44" t="str">
        <x:v>是</x:v>
      </x:c>
      <x:c r="H8" s="44" t="str">
        <x:v>首批必买</x:v>
      </x:c>
      <x:c r="I8" s="44" t="str">
        <x:v>淘宝</x:v>
      </x:c>
      <x:c r="J8" s="44" t="str">
        <x:v>https://s.taobao.com/search?q=N20%20D%E8%BD%B4%20%E8%BD%AE%E8%83%8E%2065mm</x:v>
      </x:c>
      <x:c r="K8" s="46" t="n">
        <x:f>IF(G8="是",D8*F8,0)</x:f>
        <x:v>24</x:v>
      </x:c>
      <x:c r="L8" s="59" t="str">
        <x:v>确认轴孔形状、孔径及紧固方式</x:v>
      </x:c>
      <x:c r="M8" s="62" t="str">
        <x:v>建议和电机同店购买</x:v>
      </x:c>
    </x:row>
    <x:row r="9" ht="48" customHeight="1">
      <x:c r="A9" s="58" t="str">
        <x:v>机械结构</x:v>
      </x:c>
      <x:c r="B9" s="59" t="str">
        <x:v>N20 电机安装支架</x:v>
      </x:c>
      <x:c r="C9" s="59" t="str">
        <x:v>金属或3D打印支架，孔位匹配底盘</x:v>
      </x:c>
      <x:c r="D9" s="45" t="n">
        <x:v>2</x:v>
      </x:c>
      <x:c r="E9" s="44" t="str">
        <x:v>个</x:v>
      </x:c>
      <x:c r="F9" s="46" t="n">
        <x:v>8</x:v>
      </x:c>
      <x:c r="G9" s="44" t="str">
        <x:v>是</x:v>
      </x:c>
      <x:c r="H9" s="44" t="str">
        <x:v>首批必买</x:v>
      </x:c>
      <x:c r="I9" s="44" t="str">
        <x:v>淘宝</x:v>
      </x:c>
      <x:c r="J9" s="44" t="str">
        <x:v>https://s.taobao.com/search?q=N20%20%E7%94%B5%E6%9C%BA%20%E5%9B%BA%E5%AE%9A%E6%94%AF%E6%9E%B6%20%E9%87%91%E5%B1%9E</x:v>
      </x:c>
      <x:c r="K9" s="46" t="n">
        <x:f>IF(G9="是",D9*F9,0)</x:f>
        <x:v>16</x:v>
      </x:c>
      <x:c r="L9" s="59" t="str">
        <x:v>确认含螺丝及安装孔尺寸</x:v>
      </x:c>
      <x:c r="M9" s="62" t="str">
        <x:v>建议和电机同店购买</x:v>
      </x:c>
    </x:row>
    <x:row r="10" ht="48" customHeight="1">
      <x:c r="A10" s="58" t="str">
        <x:v>机械结构</x:v>
      </x:c>
      <x:c r="B10" s="59" t="str">
        <x:v>万向轮</x:v>
      </x:c>
      <x:c r="C10" s="59" t="str">
        <x:v>20–30mm 小型万向轮，带安装螺丝</x:v>
      </x:c>
      <x:c r="D10" s="45" t="n">
        <x:v>1</x:v>
      </x:c>
      <x:c r="E10" s="44" t="str">
        <x:v>个</x:v>
      </x:c>
      <x:c r="F10" s="46" t="n">
        <x:v>10</x:v>
      </x:c>
      <x:c r="G10" s="44" t="str">
        <x:v>是</x:v>
      </x:c>
      <x:c r="H10" s="44" t="str">
        <x:v>首批必买</x:v>
      </x:c>
      <x:c r="I10" s="44" t="str">
        <x:v>京东</x:v>
      </x:c>
      <x:c r="J10" s="44" t="str">
        <x:v>https://search.jd.com/Search?keyword=%E6%99%BA%E8%83%BD%E5%B0%8F%E8%BD%A6%20%E4%B8%87%E5%90%91%E8%BD%AE%2025mm</x:v>
      </x:c>
      <x:c r="K10" s="46" t="n">
        <x:f>IF(G10="是",D10*F10,0)</x:f>
        <x:v>10</x:v>
      </x:c>
      <x:c r="L10" s="59" t="str">
        <x:v>安装高度要与驱动轮轴线和底盘匹配</x:v>
      </x:c>
      <x:c r="M10" s="62" t="str">
        <x:v>可用尼龙柱调高度</x:v>
      </x:c>
    </x:row>
    <x:row r="11" ht="48" customHeight="1">
      <x:c r="A11" s="58" t="str">
        <x:v>机械结构</x:v>
      </x:c>
      <x:c r="B11" s="59" t="str">
        <x:v>底盘板</x:v>
      </x:c>
      <x:c r="C11" s="59" t="str">
        <x:v>约160×120mm，亚克力/铝板/可打孔板</x:v>
      </x:c>
      <x:c r="D11" s="45" t="n">
        <x:v>1</x:v>
      </x:c>
      <x:c r="E11" s="44" t="str">
        <x:v>块</x:v>
      </x:c>
      <x:c r="F11" s="46" t="n">
        <x:v>30</x:v>
      </x:c>
      <x:c r="G11" s="44" t="str">
        <x:v>是</x:v>
      </x:c>
      <x:c r="H11" s="44" t="str">
        <x:v>首批必买</x:v>
      </x:c>
      <x:c r="I11" s="44" t="str">
        <x:v>淘宝</x:v>
      </x:c>
      <x:c r="J11" s="44" t="str">
        <x:v>https://s.taobao.com/search?q=%E6%99%BA%E8%83%BD%E5%B0%8F%E8%BD%A6%20%E5%BA%95%E7%9B%98%E6%9D%BF%20%E4%BA%9A%E5%85%8B%E5%8A%9B%20160%20120</x:v>
      </x:c>
      <x:c r="K11" s="46" t="n">
        <x:f>IF(G11="是",D11*F11,0)</x:f>
        <x:v>30</x:v>
      </x:c>
      <x:c r="L11" s="59" t="str">
        <x:v>先画布局再打孔；轮胎不可摩擦底盘</x:v>
      </x:c>
      <x:c r="M11" s="62" t="str">
        <x:v>也可自行切割</x:v>
      </x:c>
    </x:row>
    <x:row r="12" ht="48" customHeight="1">
      <x:c r="A12" s="58" t="str">
        <x:v>遥控输入</x:v>
      </x:c>
      <x:c r="B12" s="59" t="str">
        <x:v>双轴模拟摇杆模块</x:v>
      </x:c>
      <x:c r="C12" s="59" t="str">
        <x:v>PS2款，10kΩ，X/Y模拟输出+按压开关</x:v>
      </x:c>
      <x:c r="D12" s="45" t="n">
        <x:v>1</x:v>
      </x:c>
      <x:c r="E12" s="44" t="str">
        <x:v>个</x:v>
      </x:c>
      <x:c r="F12" s="46" t="n">
        <x:v>8</x:v>
      </x:c>
      <x:c r="G12" s="44" t="str">
        <x:v>是</x:v>
      </x:c>
      <x:c r="H12" s="44" t="str">
        <x:v>首批必买</x:v>
      </x:c>
      <x:c r="I12" s="44" t="str">
        <x:v>京东</x:v>
      </x:c>
      <x:c r="J12" s="44" t="str">
        <x:v>https://search.jd.com/Search?keyword=%E5%8F%8C%E8%BD%B4%E6%91%87%E6%9D%86%E6%A8%A1%E5%9D%97%20PS2%2010K%20Arduino</x:v>
      </x:c>
      <x:c r="K12" s="46" t="n">
        <x:f>IF(G12="是",D12*F12,0)</x:f>
        <x:v>8</x:v>
      </x:c>
      <x:c r="L12" s="59" t="str">
        <x:v>供电使用3.3V，避免ADC超过主控电压</x:v>
      </x:c>
      <x:c r="M12" s="62" t="str">
        <x:v>中心值需软件校准</x:v>
      </x:c>
    </x:row>
    <x:row r="13" ht="48" customHeight="1">
      <x:c r="A13" s="58" t="str">
        <x:v>供电</x:v>
      </x:c>
      <x:c r="B13" s="59" t="str">
        <x:v>4×AA 带开关电池盒</x:v>
      </x:c>
      <x:c r="C13" s="59" t="str">
        <x:v>串联，带引线或DC插头</x:v>
      </x:c>
      <x:c r="D13" s="45" t="n">
        <x:v>1</x:v>
      </x:c>
      <x:c r="E13" s="44" t="str">
        <x:v>个</x:v>
      </x:c>
      <x:c r="F13" s="46" t="n">
        <x:v>8</x:v>
      </x:c>
      <x:c r="G13" s="44" t="str">
        <x:v>是</x:v>
      </x:c>
      <x:c r="H13" s="44" t="str">
        <x:v>首批必买</x:v>
      </x:c>
      <x:c r="I13" s="44" t="str">
        <x:v>京东</x:v>
      </x:c>
      <x:c r="J13" s="44" t="str">
        <x:v>https://search.jd.com/Search?keyword=4%E8%8A%825%E5%8F%B7%20AA%20%E7%94%B5%E6%B1%A0%E7%9B%92%20%E5%B8%A6%E5%BC%80%E5%85%B3</x:v>
      </x:c>
      <x:c r="K13" s="46" t="n">
        <x:f>IF(G13="是",D13*F13,0)</x:f>
        <x:v>8</x:v>
      </x:c>
      <x:c r="L13" s="59" t="str">
        <x:v>车体使用；确认不是并联盒</x:v>
      </x:c>
      <x:c r="M13" s="62" t="str">
        <x:v>建议选粗导线款</x:v>
      </x:c>
    </x:row>
    <x:row r="14" ht="48" customHeight="1">
      <x:c r="A14" s="58" t="str">
        <x:v>供电</x:v>
      </x:c>
      <x:c r="B14" s="59" t="str">
        <x:v>4×AAA 带开关电池盒</x:v>
      </x:c>
      <x:c r="C14" s="59" t="str">
        <x:v>串联，带引线</x:v>
      </x:c>
      <x:c r="D14" s="45" t="n">
        <x:v>1</x:v>
      </x:c>
      <x:c r="E14" s="44" t="str">
        <x:v>个</x:v>
      </x:c>
      <x:c r="F14" s="46" t="n">
        <x:v>7</x:v>
      </x:c>
      <x:c r="G14" s="44" t="str">
        <x:v>是</x:v>
      </x:c>
      <x:c r="H14" s="44" t="str">
        <x:v>首批必买</x:v>
      </x:c>
      <x:c r="I14" s="44" t="str">
        <x:v>京东</x:v>
      </x:c>
      <x:c r="J14" s="44" t="str">
        <x:v>https://search.jd.com/Search?keyword=4%E8%8A%827%E5%8F%B7%20AAA%20%E7%94%B5%E6%B1%A0%E7%9B%92%20%E5%B8%A6%E5%BC%80%E5%85%B3</x:v>
      </x:c>
      <x:c r="K14" s="46" t="n">
        <x:f>IF(G14="是",D14*F14,0)</x:f>
        <x:v>7</x:v>
      </x:c>
      <x:c r="L14" s="59" t="str">
        <x:v>遥控器使用；确认外形能装入外壳</x:v>
      </x:c>
      <x:c r="M14" s="62" t="str"/>
    </x:row>
    <x:row r="15" ht="48" customHeight="1">
      <x:c r="A15" s="58" t="str">
        <x:v>供电</x:v>
      </x:c>
      <x:c r="B15" s="59" t="str">
        <x:v>AA 镍氢充电电池</x:v>
      </x:c>
      <x:c r="C15" s="59" t="str">
        <x:v>1.2V，1900–2500mAh，低自放电</x:v>
      </x:c>
      <x:c r="D15" s="45" t="n">
        <x:v>4</x:v>
      </x:c>
      <x:c r="E15" s="44" t="str">
        <x:v>节</x:v>
      </x:c>
      <x:c r="F15" s="46" t="n">
        <x:v>15</x:v>
      </x:c>
      <x:c r="G15" s="44" t="str">
        <x:v>是</x:v>
      </x:c>
      <x:c r="H15" s="44" t="str">
        <x:v>首批必买</x:v>
      </x:c>
      <x:c r="I15" s="44" t="str">
        <x:v>京东</x:v>
      </x:c>
      <x:c r="J15" s="44" t="str">
        <x:v>https://search.jd.com/Search?keyword=5%E5%8F%B7%20AA%20%E9%95%8D%E6%B0%A2%E5%85%85%E7%94%B5%E7%94%B5%E6%B1%A0%20%E4%BD%8E%E8%87%AA%E6%94%BE%E7%94%B5</x:v>
      </x:c>
      <x:c r="K15" s="46" t="n">
        <x:f>IF(G15="是",D15*F15,0)</x:f>
        <x:v>60</x:v>
      </x:c>
      <x:c r="L15" s="59" t="str">
        <x:v>同品牌同容量同批次成组使用</x:v>
      </x:c>
      <x:c r="M15" s="62" t="str">
        <x:v>不要混用新旧电池</x:v>
      </x:c>
    </x:row>
    <x:row r="16" ht="48" customHeight="1">
      <x:c r="A16" s="58" t="str">
        <x:v>供电</x:v>
      </x:c>
      <x:c r="B16" s="59" t="str">
        <x:v>AAA 镍氢充电电池</x:v>
      </x:c>
      <x:c r="C16" s="59" t="str">
        <x:v>1.2V，750–1000mAh，低自放电</x:v>
      </x:c>
      <x:c r="D16" s="45" t="n">
        <x:v>4</x:v>
      </x:c>
      <x:c r="E16" s="44" t="str">
        <x:v>节</x:v>
      </x:c>
      <x:c r="F16" s="46" t="n">
        <x:v>12</x:v>
      </x:c>
      <x:c r="G16" s="44" t="str">
        <x:v>是</x:v>
      </x:c>
      <x:c r="H16" s="44" t="str">
        <x:v>首批必买</x:v>
      </x:c>
      <x:c r="I16" s="44" t="str">
        <x:v>京东</x:v>
      </x:c>
      <x:c r="J16" s="44" t="str">
        <x:v>https://search.jd.com/Search?keyword=7%E5%8F%B7%20AAA%20%E9%95%8D%E6%B0%A2%E5%85%85%E7%94%B5%E7%94%B5%E6%B1%A0%20%E4%BD%8E%E8%87%AA%E6%94%BE%E7%94%B5</x:v>
      </x:c>
      <x:c r="K16" s="46" t="n">
        <x:f>IF(G16="是",D16*F16,0)</x:f>
        <x:v>48</x:v>
      </x:c>
      <x:c r="L16" s="59" t="str">
        <x:v>同品牌同容量同批次成组使用</x:v>
      </x:c>
      <x:c r="M16" s="62" t="str"/>
    </x:row>
    <x:row r="17" ht="48" customHeight="1">
      <x:c r="A17" s="58" t="str">
        <x:v>供电</x:v>
      </x:c>
      <x:c r="B17" s="59" t="str">
        <x:v>智能镍氢充电器</x:v>
      </x:c>
      <x:c r="C17" s="59" t="str">
        <x:v>独立槽，支持AA/AAA，满充断电</x:v>
      </x:c>
      <x:c r="D17" s="45" t="n">
        <x:v>1</x:v>
      </x:c>
      <x:c r="E17" s="44" t="str">
        <x:v>台</x:v>
      </x:c>
      <x:c r="F17" s="46" t="n">
        <x:v>80</x:v>
      </x:c>
      <x:c r="G17" s="44" t="str">
        <x:v>是</x:v>
      </x:c>
      <x:c r="H17" s="44" t="str">
        <x:v>首批必买</x:v>
      </x:c>
      <x:c r="I17" s="44" t="str">
        <x:v>京东</x:v>
      </x:c>
      <x:c r="J17" s="44" t="str">
        <x:v>https://search.jd.com/Search?keyword=AA%20AAA%20%E9%95%8D%E6%B0%A2%E7%94%B5%E6%B1%A0%20%E6%99%BA%E8%83%BD%E5%85%85%E7%94%B5%E5%99%A8%20%E7%8B%AC%E7%AB%8B%E6%A7%BD</x:v>
      </x:c>
      <x:c r="K17" s="46" t="n">
        <x:f>IF(G17="是",D17*F17,0)</x:f>
        <x:v>80</x:v>
      </x:c>
      <x:c r="L17" s="59" t="str">
        <x:v>不要使用无独立检测的廉价定时充电器</x:v>
      </x:c>
      <x:c r="M17" s="62" t="str">
        <x:v>已有兼容充电器可不买</x:v>
      </x:c>
    </x:row>
    <x:row r="18" ht="48" customHeight="1">
      <x:c r="A18" s="58" t="str">
        <x:v>原型连接</x:v>
      </x:c>
      <x:c r="B18" s="59" t="str">
        <x:v>830孔面包板</x:v>
      </x:c>
      <x:c r="C18" s="59" t="str">
        <x:v>标准830孔，接触可靠</x:v>
      </x:c>
      <x:c r="D18" s="45" t="n">
        <x:v>1</x:v>
      </x:c>
      <x:c r="E18" s="44" t="str">
        <x:v>块</x:v>
      </x:c>
      <x:c r="F18" s="46" t="n">
        <x:v>15</x:v>
      </x:c>
      <x:c r="G18" s="44" t="str">
        <x:v>是</x:v>
      </x:c>
      <x:c r="H18" s="44" t="str">
        <x:v>首批必买</x:v>
      </x:c>
      <x:c r="I18" s="44" t="str">
        <x:v>京东</x:v>
      </x:c>
      <x:c r="J18" s="44" t="str">
        <x:v>https://search.jd.com/Search?keyword=830%E5%AD%94%20%E9%9D%A2%E5%8C%85%E6%9D%BF</x:v>
      </x:c>
      <x:c r="K18" s="46" t="n">
        <x:f>IF(G18="是",D18*F18,0)</x:f>
        <x:v>15</x:v>
      </x:c>
      <x:c r="L18" s="59" t="str">
        <x:v>电机大电流不要经过面包板电源轨</x:v>
      </x:c>
      <x:c r="M18" s="62" t="str">
        <x:v>仅用于逻辑信号</x:v>
      </x:c>
    </x:row>
    <x:row r="19" ht="48" customHeight="1">
      <x:c r="A19" s="58" t="str">
        <x:v>原型连接</x:v>
      </x:c>
      <x:c r="B19" s="59" t="str">
        <x:v>杜邦线套装</x:v>
      </x:c>
      <x:c r="C19" s="59" t="str">
        <x:v>公对公/公对母/母对母，各20cm</x:v>
      </x:c>
      <x:c r="D19" s="45" t="n">
        <x:v>1</x:v>
      </x:c>
      <x:c r="E19" s="44" t="str">
        <x:v>套</x:v>
      </x:c>
      <x:c r="F19" s="46" t="n">
        <x:v>18</x:v>
      </x:c>
      <x:c r="G19" s="44" t="str">
        <x:v>是</x:v>
      </x:c>
      <x:c r="H19" s="44" t="str">
        <x:v>首批必买</x:v>
      </x:c>
      <x:c r="I19" s="44" t="str">
        <x:v>京东</x:v>
      </x:c>
      <x:c r="J19" s="44" t="str">
        <x:v>https://search.jd.com/Search?keyword=%E6%9D%9C%E9%82%A6%E7%BA%BF%20%E5%85%AC%E5%AF%B9%E5%85%AC%20%E5%85%AC%E5%AF%B9%E6%AF%8D%20%E6%AF%8D%E5%AF%B9%E6%AF%8D%20%E5%A5%97%E8%A3%85</x:v>
      </x:c>
      <x:c r="K19" s="46" t="n">
        <x:f>IF(G19="是",D19*F19,0)</x:f>
        <x:v>18</x:v>
      </x:c>
      <x:c r="L19" s="59" t="str">
        <x:v>电机与电池回路改用更粗导线</x:v>
      </x:c>
      <x:c r="M19" s="62" t="str"/>
    </x:row>
    <x:row r="20" ht="48" customHeight="1">
      <x:c r="A20" s="58" t="str">
        <x:v>调试连接</x:v>
      </x:c>
      <x:c r="B20" s="59" t="str">
        <x:v>USB-C 数据线</x:v>
      </x:c>
      <x:c r="C20" s="59" t="str">
        <x:v>明确支持数据传输，0.5–1m</x:v>
      </x:c>
      <x:c r="D20" s="45" t="n">
        <x:v>2</x:v>
      </x:c>
      <x:c r="E20" s="44" t="str">
        <x:v>条</x:v>
      </x:c>
      <x:c r="F20" s="46" t="n">
        <x:v>15</x:v>
      </x:c>
      <x:c r="G20" s="44" t="str">
        <x:v>是</x:v>
      </x:c>
      <x:c r="H20" s="44" t="str">
        <x:v>首批必买</x:v>
      </x:c>
      <x:c r="I20" s="44" t="str">
        <x:v>京东</x:v>
      </x:c>
      <x:c r="J20" s="44" t="str">
        <x:v>https://search.jd.com/Search?keyword=USB%20Type-C%20%E6%95%B0%E6%8D%AE%E7%BA%BF%20%E6%95%B0%E6%8D%AE%E4%BC%A0%E8%BE%93%20%E7%9F%AD%E7%BA%BF</x:v>
      </x:c>
      <x:c r="K20" s="46" t="n">
        <x:f>IF(G20="是",D20*F20,0)</x:f>
        <x:v>30</x:v>
      </x:c>
      <x:c r="L20" s="59" t="str">
        <x:v>部分充电线没有数据功能</x:v>
      </x:c>
      <x:c r="M20" s="62" t="str">
        <x:v>两块开发板各一条</x:v>
      </x:c>
    </x:row>
    <x:row r="21" ht="48" customHeight="1">
      <x:c r="A21" s="58" t="str">
        <x:v>抗干扰</x:v>
      </x:c>
      <x:c r="B21" s="59" t="str">
        <x:v>100nF 陶瓷电容</x:v>
      </x:c>
      <x:c r="C21" s="59" t="str">
        <x:v>独石/瓷片，50V；直接焊在电机两端</x:v>
      </x:c>
      <x:c r="D21" s="45" t="n">
        <x:v>10</x:v>
      </x:c>
      <x:c r="E21" s="44" t="str">
        <x:v>个</x:v>
      </x:c>
      <x:c r="F21" s="46" t="n">
        <x:v>0.5</x:v>
      </x:c>
      <x:c r="G21" s="44" t="str">
        <x:v>是</x:v>
      </x:c>
      <x:c r="H21" s="44" t="str">
        <x:v>首批必买</x:v>
      </x:c>
      <x:c r="I21" s="44" t="str">
        <x:v>淘宝</x:v>
      </x:c>
      <x:c r="J21" s="44" t="str">
        <x:v>https://s.taobao.com/search?q=100nF%20104%2050V%20%E9%99%B6%E7%93%B7%E7%94%B5%E5%AE%B9</x:v>
      </x:c>
      <x:c r="K21" s="46" t="n">
        <x:f>IF(G21="是",D21*F21,0)</x:f>
        <x:v>5</x:v>
      </x:c>
      <x:c r="L21" s="59" t="str">
        <x:v>每台电机至少1个，其余备用</x:v>
      </x:c>
      <x:c r="M21" s="62" t="str">
        <x:v>引脚越短越好</x:v>
      </x:c>
    </x:row>
    <x:row r="22" ht="48" customHeight="1">
      <x:c r="A22" s="58" t="str">
        <x:v>线材固定</x:v>
      </x:c>
      <x:c r="B22" s="59" t="str">
        <x:v>硅胶线+热缩管+扎带</x:v>
      </x:c>
      <x:c r="C22" s="59" t="str">
        <x:v>22–26AWG多色线，热缩管组合</x:v>
      </x:c>
      <x:c r="D22" s="45" t="n">
        <x:v>1</x:v>
      </x:c>
      <x:c r="E22" s="44" t="str">
        <x:v>套</x:v>
      </x:c>
      <x:c r="F22" s="46" t="n">
        <x:v>30</x:v>
      </x:c>
      <x:c r="G22" s="44" t="str">
        <x:v>是</x:v>
      </x:c>
      <x:c r="H22" s="44" t="str">
        <x:v>首批必买</x:v>
      </x:c>
      <x:c r="I22" s="44" t="str">
        <x:v>京东</x:v>
      </x:c>
      <x:c r="J22" s="44" t="str">
        <x:v>https://search.jd.com/Search?keyword=%E7%A1%85%E8%83%B6%E7%BA%BF%2022AWG%20%E7%83%AD%E7%BC%A9%E7%AE%A1%20%E6%89%8E%E5%B8%A6%20%E5%A5%97%E8%A3%85</x:v>
      </x:c>
      <x:c r="K22" s="46" t="n">
        <x:f>IF(G22="是",D22*F22,0)</x:f>
        <x:v>30</x:v>
      </x:c>
      <x:c r="L22" s="59" t="str">
        <x:v>电池和电机线不要使用细杜邦线</x:v>
      </x:c>
      <x:c r="M22" s="62" t="str"/>
    </x:row>
    <x:row r="23" ht="48" customHeight="1">
      <x:c r="A23" s="58" t="str">
        <x:v>机械结构</x:v>
      </x:c>
      <x:c r="B23" s="59" t="str">
        <x:v>M3螺丝/螺母/尼龙柱套装</x:v>
      </x:c>
      <x:c r="C23" s="59" t="str">
        <x:v>M3多长度，含铜柱或尼龙柱</x:v>
      </x:c>
      <x:c r="D23" s="45" t="n">
        <x:v>1</x:v>
      </x:c>
      <x:c r="E23" s="44" t="str">
        <x:v>套</x:v>
      </x:c>
      <x:c r="F23" s="46" t="n">
        <x:v>25</x:v>
      </x:c>
      <x:c r="G23" s="44" t="str">
        <x:v>是</x:v>
      </x:c>
      <x:c r="H23" s="44" t="str">
        <x:v>首批必买</x:v>
      </x:c>
      <x:c r="I23" s="44" t="str">
        <x:v>京东</x:v>
      </x:c>
      <x:c r="J23" s="44" t="str">
        <x:v>https://search.jd.com/Search?keyword=M3%20%E5%B0%BC%E9%BE%99%E6%9F%B1%20%E9%93%9C%E6%9F%B1%20%E8%9E%BA%E4%B8%9D%20%E8%9E%BA%E6%AF%8D%20%E5%A5%97%E8%A3%85</x:v>
      </x:c>
      <x:c r="K23" s="46" t="n">
        <x:f>IF(G23="是",D23*F23,0)</x:f>
        <x:v>25</x:v>
      </x:c>
      <x:c r="L23" s="59" t="str">
        <x:v>用于PCB、电池盒和底盘固定</x:v>
      </x:c>
      <x:c r="M23" s="62" t="str"/>
    </x:row>
    <x:row r="24" ht="48" customHeight="1">
      <x:c r="A24" s="58" t="str">
        <x:v>调试工具</x:v>
      </x:c>
      <x:c r="B24" s="59" t="str">
        <x:v>可调直流稳压电源</x:v>
      </x:c>
      <x:c r="C24" s="59" t="str">
        <x:v>0–30V、0–5A，必须支持恒流限流</x:v>
      </x:c>
      <x:c r="D24" s="45" t="n">
        <x:v>1</x:v>
      </x:c>
      <x:c r="E24" s="44" t="str">
        <x:v>台</x:v>
      </x:c>
      <x:c r="F24" s="46" t="n">
        <x:v>300</x:v>
      </x:c>
      <x:c r="G24" s="44" t="str">
        <x:v>按需</x:v>
      </x:c>
      <x:c r="H24" s="44" t="str">
        <x:v>强烈建议</x:v>
      </x:c>
      <x:c r="I24" s="44" t="str">
        <x:v>京东</x:v>
      </x:c>
      <x:c r="J24" s="44" t="str">
        <x:v>https://search.jd.com/Search?keyword=%E5%8F%AF%E8%B0%83%E7%9B%B4%E6%B5%81%E7%A8%B3%E5%8E%8B%E7%94%B5%E6%BA%90%2030V%205A%20%E6%81%92%E6%B5%81%20%E9%99%90%E6%B5%81</x:v>
      </x:c>
      <x:c r="K24" s="46" t="n">
        <x:f>IF(G24="是",D24*F24,0)</x:f>
        <x:v>0</x:v>
      </x:c>
      <x:c r="L24" s="59" t="str">
        <x:v>测空载/启动/堵转电流及安全上电的关键工具</x:v>
      </x:c>
      <x:c r="M24" s="62" t="str">
        <x:v>已有则不重复购买</x:v>
      </x:c>
    </x:row>
    <x:row r="25" ht="48" customHeight="1">
      <x:c r="A25" s="58" t="str">
        <x:v>调试工具</x:v>
      </x:c>
      <x:c r="B25" s="59" t="str">
        <x:v>数字万用表</x:v>
      </x:c>
      <x:c r="C25" s="59" t="str">
        <x:v>具备直流电压、电阻、通断及至少10A电流档</x:v>
      </x:c>
      <x:c r="D25" s="45" t="n">
        <x:v>1</x:v>
      </x:c>
      <x:c r="E25" s="44" t="str">
        <x:v>台</x:v>
      </x:c>
      <x:c r="F25" s="46" t="n">
        <x:v>120</x:v>
      </x:c>
      <x:c r="G25" s="44" t="str">
        <x:v>按需</x:v>
      </x:c>
      <x:c r="H25" s="44" t="str">
        <x:v>强烈建议</x:v>
      </x:c>
      <x:c r="I25" s="44" t="str">
        <x:v>京东</x:v>
      </x:c>
      <x:c r="J25" s="44" t="str">
        <x:v>https://search.jd.com/Search?keyword=%E6%95%B0%E5%AD%97%E4%B8%87%E7%94%A8%E8%A1%A8%2010A%20%E7%94%B5%E6%B5%81%E6%A1%A3%20%E9%80%9A%E6%96%AD</x:v>
      </x:c>
      <x:c r="K25" s="46" t="n">
        <x:f>IF(G25="是",D25*F25,0)</x:f>
        <x:v>0</x:v>
      </x:c>
      <x:c r="L25" s="59" t="str">
        <x:v>测电机电流时注意表笔插孔和量程</x:v>
      </x:c>
      <x:c r="M25" s="62" t="str">
        <x:v>已有合格设备可不买</x:v>
      </x:c>
    </x:row>
    <x:row r="26" ht="48" customHeight="1">
      <x:c r="A26" s="58" t="str">
        <x:v>焊接工具</x:v>
      </x:c>
      <x:c r="B26" s="59" t="str">
        <x:v>恒温焊台</x:v>
      </x:c>
      <x:c r="C26" s="59" t="str">
        <x:v>60W以上，可调温，常用烙铁头可替换</x:v>
      </x:c>
      <x:c r="D26" s="45" t="n">
        <x:v>1</x:v>
      </x:c>
      <x:c r="E26" s="44" t="str">
        <x:v>台</x:v>
      </x:c>
      <x:c r="F26" s="46" t="n">
        <x:v>180</x:v>
      </x:c>
      <x:c r="G26" s="44" t="str">
        <x:v>按需</x:v>
      </x:c>
      <x:c r="H26" s="44" t="str">
        <x:v>PCB阶段必需</x:v>
      </x:c>
      <x:c r="I26" s="44" t="str">
        <x:v>京东</x:v>
      </x:c>
      <x:c r="J26" s="44" t="str">
        <x:v>https://search.jd.com/Search?keyword=%E6%81%92%E6%B8%A9%E7%84%8A%E5%8F%B0%2060W%20%E5%8F%AF%E8%B0%83%E6%B8%A9</x:v>
      </x:c>
      <x:c r="K26" s="46" t="n">
        <x:f>IF(G26="是",D26*F26,0)</x:f>
        <x:v>0</x:v>
      </x:c>
      <x:c r="L26" s="59" t="str">
        <x:v>PCB阶段必需；初期模块接线也会用到</x:v>
      </x:c>
      <x:c r="M26" s="62" t="str">
        <x:v>已有则不买</x:v>
      </x:c>
    </x:row>
    <x:row r="27" ht="48" customHeight="1">
      <x:c r="A27" s="58" t="str">
        <x:v>焊接耗材</x:v>
      </x:c>
      <x:c r="B27" s="59" t="str">
        <x:v>焊锡丝/助焊剂/吸锡带</x:v>
      </x:c>
      <x:c r="C27" s="59" t="str">
        <x:v>0.5–0.8mm焊锡丝，电子助焊剂</x:v>
      </x:c>
      <x:c r="D27" s="45" t="n">
        <x:v>1</x:v>
      </x:c>
      <x:c r="E27" s="44" t="str">
        <x:v>套</x:v>
      </x:c>
      <x:c r="F27" s="46" t="n">
        <x:v>50</x:v>
      </x:c>
      <x:c r="G27" s="44" t="str">
        <x:v>按需</x:v>
      </x:c>
      <x:c r="H27" s="44" t="str">
        <x:v>PCB阶段必需</x:v>
      </x:c>
      <x:c r="I27" s="44" t="str">
        <x:v>京东</x:v>
      </x:c>
      <x:c r="J27" s="44" t="str">
        <x:v>https://search.jd.com/Search?keyword=%E7%84%8A%E9%94%A1%E4%B8%9D%20%E5%8A%A9%E7%84%8A%E5%89%82%20%E5%90%B8%E9%94%A1%E5%B8%A6%20%E7%94%B5%E5%AD%90%E7%84%8A%E6%8E%A5%E5%A5%97%E8%A3%85</x:v>
      </x:c>
      <x:c r="K27" s="46" t="n">
        <x:f>IF(G27="是",D27*F27,0)</x:f>
        <x:v>0</x:v>
      </x:c>
      <x:c r="L27" s="59" t="str">
        <x:v>注意通风，焊后清洁助焊剂残留</x:v>
      </x:c>
      <x:c r="M27" s="62" t="str"/>
    </x:row>
    <x:row r="28" ht="48" customHeight="1">
      <x:c r="A28" s="58" t="str">
        <x:v>调试工具</x:v>
      </x:c>
      <x:c r="B28" s="59" t="str">
        <x:v>USB逻辑分析仪</x:v>
      </x:c>
      <x:c r="C28" s="59" t="str">
        <x:v>8通道24MHz，支持3.3V信号</x:v>
      </x:c>
      <x:c r="D28" s="45" t="n">
        <x:v>1</x:v>
      </x:c>
      <x:c r="E28" s="44" t="str">
        <x:v>个</x:v>
      </x:c>
      <x:c r="F28" s="46" t="n">
        <x:v>45</x:v>
      </x:c>
      <x:c r="G28" s="44" t="str">
        <x:v>否</x:v>
      </x:c>
      <x:c r="H28" s="44" t="str">
        <x:v>可选调试</x:v>
      </x:c>
      <x:c r="I28" s="44" t="str">
        <x:v>淘宝</x:v>
      </x:c>
      <x:c r="J28" s="44" t="str">
        <x:v>https://s.taobao.com/search?q=USB%20%E9%80%BB%E8%BE%91%E5%88%86%E6%9E%90%E4%BB%AA%208%E9%80%9A%E9%81%93%2024MHz</x:v>
      </x:c>
      <x:c r="K28" s="46" t="n">
        <x:f>IF(G28="是",D28*F28,0)</x:f>
        <x:v>0</x:v>
      </x:c>
      <x:c r="L28" s="59" t="str">
        <x:v>用于分析控制周期和通信时序，不是首批刚需</x:v>
      </x:c>
      <x:c r="M28" s="62" t="str"/>
    </x:row>
    <x:row r="29" ht="48" customHeight="1">
      <x:c r="A29" s="58" t="str">
        <x:v>调试工具</x:v>
      </x:c>
      <x:c r="B29" s="59" t="str">
        <x:v>非接触测温仪</x:v>
      </x:c>
      <x:c r="C29" s="59" t="str">
        <x:v>-50–380℃常见型号</x:v>
      </x:c>
      <x:c r="D29" s="45" t="n">
        <x:v>1</x:v>
      </x:c>
      <x:c r="E29" s="44" t="str">
        <x:v>个</x:v>
      </x:c>
      <x:c r="F29" s="46" t="n">
        <x:v>70</x:v>
      </x:c>
      <x:c r="G29" s="44" t="str">
        <x:v>否</x:v>
      </x:c>
      <x:c r="H29" s="44" t="str">
        <x:v>可选调试</x:v>
      </x:c>
      <x:c r="I29" s="44" t="str">
        <x:v>京东</x:v>
      </x:c>
      <x:c r="J29" s="44" t="str">
        <x:v>https://search.jd.com/Search?keyword=%E7%BA%A2%E5%A4%96%E6%B5%8B%E6%B8%A9%E4%BB%AA%20%E9%9D%9E%E6%8E%A5%E8%A7%A6%20%E7%94%B5%E5%AD%90%E7%BB%B4%E4%BF%AE</x:v>
      </x:c>
      <x:c r="K29" s="46" t="n">
        <x:f>IF(G29="是",D29*F29,0)</x:f>
        <x:v>0</x:v>
      </x:c>
      <x:c r="L29" s="59" t="str">
        <x:v>便于记录驱动芯片、电机及接插件温升</x:v>
      </x:c>
      <x:c r="M29" s="62" t="str">
        <x:v>可用热电偶温度计替代</x:v>
      </x:c>
    </x:row>
    <x:row r="30" ht="48" customHeight="1">
      <x:c r="A30" s="58" t="str">
        <x:v>机械工具</x:v>
      </x:c>
      <x:c r="B30" s="59" t="str">
        <x:v>数字游标卡尺</x:v>
      </x:c>
      <x:c r="C30" s="59" t="str">
        <x:v>0–150mm，分辨率0.01mm</x:v>
      </x:c>
      <x:c r="D30" s="45" t="n">
        <x:v>1</x:v>
      </x:c>
      <x:c r="E30" s="44" t="str">
        <x:v>把</x:v>
      </x:c>
      <x:c r="F30" s="46" t="n">
        <x:v>70</x:v>
      </x:c>
      <x:c r="G30" s="44" t="str">
        <x:v>按需</x:v>
      </x:c>
      <x:c r="H30" s="44" t="str">
        <x:v>机械阶段建议</x:v>
      </x:c>
      <x:c r="I30" s="44" t="str">
        <x:v>京东</x:v>
      </x:c>
      <x:c r="J30" s="44" t="str">
        <x:v>https://search.jd.com/Search?keyword=%E6%95%B0%E5%AD%97%E6%B8%B8%E6%A0%87%E5%8D%A1%E5%B0%BA%200-150mm</x:v>
      </x:c>
      <x:c r="K30" s="46" t="n">
        <x:f>IF(G30="是",D30*F30,0)</x:f>
        <x:v>0</x:v>
      </x:c>
      <x:c r="L30" s="59" t="str">
        <x:v>核对轴径、孔距和外壳尺寸</x:v>
      </x:c>
      <x:c r="M30" s="62" t="str">
        <x:v>已有则不买</x:v>
      </x:c>
    </x:row>
    <x:row r="31" ht="48" customHeight="1">
      <x:c r="A31" s="58" t="str">
        <x:v>PCB物料</x:v>
      </x:c>
      <x:c r="B31" s="59" t="str">
        <x:v>ESP32-C3-MINI-1 模组</x:v>
      </x:c>
      <x:c r="C31" s="59" t="str">
        <x:v>原装模组，4MB Flash，封装资料齐全</x:v>
      </x:c>
      <x:c r="D31" s="45" t="n">
        <x:v>4</x:v>
      </x:c>
      <x:c r="E31" s="44" t="str">
        <x:v>个</x:v>
      </x:c>
      <x:c r="F31" s="46" t="n">
        <x:v>25</x:v>
      </x:c>
      <x:c r="G31" s="44" t="str">
        <x:v>否</x:v>
      </x:c>
      <x:c r="H31" s="44" t="str">
        <x:v>原型通过后</x:v>
      </x:c>
      <x:c r="I31" s="44" t="str">
        <x:v>京东</x:v>
      </x:c>
      <x:c r="J31" s="44" t="str">
        <x:v>https://search.jd.com/Search?keyword=ESP32-C3-MINI-1%20%E6%A8%A1%E7%BB%84%20%E5%8E%9F%E8%A3%85</x:v>
      </x:c>
      <x:c r="K31" s="46" t="n">
        <x:f>IF(G31="是",D31*F31,0)</x:f>
        <x:v>0</x:v>
      </x:c>
      <x:c r="L31" s="59" t="str">
        <x:v>两块PCB各1个，余量用于焊接损耗/备件</x:v>
      </x:c>
      <x:c r="M31" s="62" t="str">
        <x:v>不要在原型通过前大量采购</x:v>
      </x:c>
    </x:row>
    <x:row r="32" ht="48" customHeight="1">
      <x:c r="A32" s="58" t="str">
        <x:v>PCB物料</x:v>
      </x:c>
      <x:c r="B32" s="59" t="str">
        <x:v>TB6612FNG 芯片</x:v>
      </x:c>
      <x:c r="C32" s="59" t="str">
        <x:v>SSOP-24，正规渠道</x:v>
      </x:c>
      <x:c r="D32" s="45" t="n">
        <x:v>3</x:v>
      </x:c>
      <x:c r="E32" s="44" t="str">
        <x:v>个</x:v>
      </x:c>
      <x:c r="F32" s="46" t="n">
        <x:v>12</x:v>
      </x:c>
      <x:c r="G32" s="44" t="str">
        <x:v>否</x:v>
      </x:c>
      <x:c r="H32" s="44" t="str">
        <x:v>原型通过后</x:v>
      </x:c>
      <x:c r="I32" s="44" t="str">
        <x:v>淘宝</x:v>
      </x:c>
      <x:c r="J32" s="44" t="str">
        <x:v>https://s.taobao.com/search?q=TB6612FNG%20%E5%8E%9F%E8%A3%85%20SSOP24</x:v>
      </x:c>
      <x:c r="K32" s="46" t="n">
        <x:f>IF(G32="是",D32*F32,0)</x:f>
        <x:v>0</x:v>
      </x:c>
      <x:c r="L32" s="59" t="str">
        <x:v>车体板1个，其余备件；注意假货和丝印</x:v>
      </x:c>
      <x:c r="M32" s="62" t="str"/>
    </x:row>
    <x:row r="33" ht="48" customHeight="1">
      <x:c r="A33" s="58" t="str">
        <x:v>PCB物料</x:v>
      </x:c>
      <x:c r="B33" s="59" t="str">
        <x:v>3.3V稳压器及外围</x:v>
      </x:c>
      <x:c r="C33" s="59" t="str">
        <x:v>建议≥600mA，低压差；型号在原理图阶段冻结</x:v>
      </x:c>
      <x:c r="D33" s="45" t="n">
        <x:v>4</x:v>
      </x:c>
      <x:c r="E33" s="44" t="str">
        <x:v>套</x:v>
      </x:c>
      <x:c r="F33" s="46" t="n">
        <x:v>8</x:v>
      </x:c>
      <x:c r="G33" s="44" t="str">
        <x:v>否</x:v>
      </x:c>
      <x:c r="H33" s="44" t="str">
        <x:v>原型通过后</x:v>
      </x:c>
      <x:c r="I33" s="44" t="str">
        <x:v>淘宝</x:v>
      </x:c>
      <x:c r="J33" s="44" t="str">
        <x:v>https://s.taobao.com/search?q=3.3V%20LDO%20600mA%20%E4%BD%8E%E5%8E%8B%E5%B7%AE%20%E7%A8%B3%E5%8E%8B%E5%99%A8</x:v>
      </x:c>
      <x:c r="K33" s="46" t="n">
        <x:f>IF(G33="是",D33*F33,0)</x:f>
        <x:v>0</x:v>
      </x:c>
      <x:c r="L33" s="59" t="str">
        <x:v>必须根据4节镍氢最高电压、压差和ESP32峰值电流复核</x:v>
      </x:c>
      <x:c r="M33" s="62" t="str">
        <x:v>先定型号再定封装</x:v>
      </x:c>
    </x:row>
    <x:row r="34" ht="48" customHeight="1">
      <x:c r="A34" s="58" t="str">
        <x:v>PCB物料</x:v>
      </x:c>
      <x:c r="B34" s="59" t="str">
        <x:v>USB-C 16P母座</x:v>
      </x:c>
      <x:c r="C34" s="59" t="str">
        <x:v>USB2.0贴片，带定位柱</x:v>
      </x:c>
      <x:c r="D34" s="45" t="n">
        <x:v>5</x:v>
      </x:c>
      <x:c r="E34" s="44" t="str">
        <x:v>个</x:v>
      </x:c>
      <x:c r="F34" s="46" t="n">
        <x:v>3</x:v>
      </x:c>
      <x:c r="G34" s="44" t="str">
        <x:v>否</x:v>
      </x:c>
      <x:c r="H34" s="44" t="str">
        <x:v>原型通过后</x:v>
      </x:c>
      <x:c r="I34" s="44" t="str">
        <x:v>淘宝</x:v>
      </x:c>
      <x:c r="J34" s="44" t="str">
        <x:v>https://s.taobao.com/search?q=USB%20Type-C%2016P%20%E6%AF%8D%E5%BA%A7%20USB2.0%20%E8%B4%B4%E7%89%87</x:v>
      </x:c>
      <x:c r="K34" s="46" t="n">
        <x:f>IF(G34="是",D34*F34,0)</x:f>
        <x:v>0</x:v>
      </x:c>
      <x:c r="L34" s="59" t="str">
        <x:v>封装必须与实物完全一致</x:v>
      </x:c>
      <x:c r="M34" s="62" t="str">
        <x:v>购买后实测封装再画板</x:v>
      </x:c>
    </x:row>
    <x:row r="35" ht="48" customHeight="1">
      <x:c r="A35" s="58" t="str">
        <x:v>PCB物料</x:v>
      </x:c>
      <x:c r="B35" s="59" t="str">
        <x:v>PCB通用阻容/LED/按键/保护器件</x:v>
      </x:c>
      <x:c r="C35" s="59" t="str">
        <x:v>100nF、10uF、470uF、5.1k、分压、LED、按键、保险丝等</x:v>
      </x:c>
      <x:c r="D35" s="45" t="n">
        <x:v>1</x:v>
      </x:c>
      <x:c r="E35" s="44" t="str">
        <x:v>批</x:v>
      </x:c>
      <x:c r="F35" s="46" t="n">
        <x:v>100</x:v>
      </x:c>
      <x:c r="G35" s="44" t="str">
        <x:v>否</x:v>
      </x:c>
      <x:c r="H35" s="44" t="str">
        <x:v>原型通过后</x:v>
      </x:c>
      <x:c r="I35" s="44" t="str">
        <x:v>淘宝</x:v>
      </x:c>
      <x:c r="J35" s="44" t="str">
        <x:v>https://s.taobao.com/search?q=%E7%94%B5%E5%AD%90%E5%85%83%E4%BB%B6%E5%8C%85%20%E7%94%B5%E9%98%BB%20%E7%94%B5%E5%AE%B9%20LED%20%E6%8C%89%E9%94%AE%20%E8%87%AA%E6%81%A2%E5%A4%8D%E4%BF%9D%E9%99%A9%E4%B8%9D</x:v>
      </x:c>
      <x:c r="K35" s="46" t="n">
        <x:f>IF(G35="是",D35*F35,0)</x:f>
        <x:v>0</x:v>
      </x:c>
      <x:c r="L35" s="59" t="str">
        <x:v>最终数量以原理图BOM为准，此行为预留预算</x:v>
      </x:c>
      <x:c r="M35" s="62" t="str">
        <x:v>不建议用不明品牌电解电容</x:v>
      </x:c>
    </x:row>
    <x:row r="36" ht="48" customHeight="1">
      <x:c r="A36" s="60" t="str">
        <x:v>PCB加工</x:v>
      </x:c>
      <x:c r="B36" s="61" t="str">
        <x:v>双层PCB打样</x:v>
      </x:c>
      <x:c r="C36" s="61" t="str">
        <x:v>车体板+遥控器板，各5片，1.6mm/1oz</x:v>
      </x:c>
      <x:c r="D36" s="50" t="n">
        <x:v>1</x:v>
      </x:c>
      <x:c r="E36" s="49" t="str">
        <x:v>批</x:v>
      </x:c>
      <x:c r="F36" s="51" t="n">
        <x:v>100</x:v>
      </x:c>
      <x:c r="G36" s="49" t="str">
        <x:v>否</x:v>
      </x:c>
      <x:c r="H36" s="49" t="str">
        <x:v>原型通过后</x:v>
      </x:c>
      <x:c r="I36" s="49" t="str">
        <x:v>其他</x:v>
      </x:c>
      <x:c r="J36" s="49" t="str">
        <x:v>https://www.jlc.com/</x:v>
      </x:c>
      <x:c r="K36" s="51" t="n">
        <x:f>IF(G36="是",D36*F36,0)</x:f>
        <x:v>0</x:v>
      </x:c>
      <x:c r="L36" s="61" t="str">
        <x:v>价格受尺寸、运费、表面工艺和优惠影响</x:v>
      </x:c>
      <x:c r="M36" s="63" t="str">
        <x:v>下单前完成ERC/DRC/Gerber检查</x:v>
      </x:c>
    </x:row>
    <x:row r="37">
      <x:c r="A37" s="53" t="str">
        <x:v>当前必买预算合计（不含“按需”和“否”）</x:v>
      </x:c>
      <x:c r="B37" s="54"/>
      <x:c r="C37" s="54"/>
      <x:c r="D37" s="55"/>
      <x:c r="E37" s="54"/>
      <x:c r="F37" s="56"/>
      <x:c r="G37" s="54"/>
      <x:c r="H37" s="54"/>
      <x:c r="I37" s="54"/>
      <x:c r="J37" s="54"/>
      <x:c r="K37" s="56" t="n">
        <x:f>SUM(K5:K36)</x:f>
        <x:v>559</x:v>
      </x:c>
      <x:c r="L37" s="64" t="str">
        <x:v>实际支出请将是否计入预算改为“是”并更新单价</x:v>
      </x:c>
      <x:c r="M37" s="65"/>
    </x:row>
  </x:sheetData>
  <x:mergeCells>
    <x:mergeCell ref="A1:M1"/>
    <x:mergeCell ref="A2:M2"/>
    <x:mergeCell ref="A37:J37"/>
    <x:mergeCell ref="L37:M37"/>
  </x:mergeCells>
  <x:conditionalFormatting sqref="G5:G36">
    <x:cfRule type="containsText" dxfId="0" priority="1" operator="containsText" text="是"/>
    <x:cfRule type="containsText" dxfId="1" priority="2" operator="containsText" text="按需"/>
    <x:cfRule type="containsText" dxfId="2" priority="3" operator="containsText" text="否"/>
  </x:conditionalFormatting>
  <x:dataValidations count="2">
    <x:dataValidation type="list" sqref="G5:G36">
      <x:formula1>"是,按需,否"</x:formula1>
    </x:dataValidation>
    <x:dataValidation type="list" sqref="H5:H36">
      <x:formula1>"首批必买,强烈建议,机械阶段建议,PCB阶段必需,可选调试,原型通过后"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4a4e202f524d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55" hidden="0" customWidth="1"/>
  </x:cols>
  <x:sheetData>
    <x:row r="1" ht="34" customHeight="1">
      <x:c r="A1" s="68" t="str">
        <x:v>选型、下单与验收说明</x:v>
      </x:c>
      <x:c r="B1" s="68"/>
      <x:c r="C1" s="68"/>
      <x:c r="D1" s="68"/>
      <x:c r="E1" s="68"/>
      <x:c r="F1" s="68"/>
    </x:row>
    <x:row r="3">
      <x:c r="A3" s="71" t="str">
        <x:v>主题</x:v>
      </x:c>
      <x:c r="B3" s="71" t="str">
        <x:v>建议</x:v>
      </x:c>
      <x:c r="C3" s="71" t="str">
        <x:v>原因/风险</x:v>
      </x:c>
    </x:row>
    <x:row r="4" ht="52" customHeight="1">
      <x:c r="A4" s="123" t="str">
        <x:v>采购顺序</x:v>
      </x:c>
      <x:c r="B4" s="124" t="str">
        <x:v>先买开发板、驱动模块、电机/轮胎/支架、供电、摇杆和原型连接材料。</x:v>
      </x:c>
      <x:c r="C4" s="125" t="str">
        <x:v>电机参数和机械尺寸会决定驱动器及PCB设计。</x:v>
      </x:c>
    </x:row>
    <x:row r="5" ht="52" customHeight="1">
      <x:c r="A5" s="58" t="str">
        <x:v>电机选择</x:v>
      </x:c>
      <x:c r="B5" s="59" t="str">
        <x:v>首选6V N20金属减速电机，100–300rpm；购买3个并挑选匹配的2个。</x:v>
      </x:c>
      <x:c r="C5" s="62" t="str">
        <x:v>需要实测空载电流、启动电流和≤1秒堵转电流；目标堵转≤1A/个。</x:v>
      </x:c>
    </x:row>
    <x:row r="6" ht="52" customHeight="1">
      <x:c r="A6" s="58" t="str">
        <x:v>传动匹配</x:v>
      </x:c>
      <x:c r="B6" s="59" t="str">
        <x:v>电机、轮胎和支架尽量同店购买；核对轴径、D轴形状、轮毂孔及支架孔距。</x:v>
      </x:c>
      <x:c r="C6" s="62" t="str">
        <x:v>规格不匹配是新手项目最常见的机械返工来源。</x:v>
      </x:c>
    </x:row>
    <x:row r="7" ht="52" customHeight="1">
      <x:c r="A7" s="58" t="str">
        <x:v>供电安全</x:v>
      </x:c>
      <x:c r="B7" s="59" t="str">
        <x:v>车体先用4节AA镍氢；禁止USB 5V与电池直接并联。</x:v>
      </x:c>
      <x:c r="C7" s="62" t="str">
        <x:v>电机启动压降可能导致ESP32复位，后续PCB需分支滤波。</x:v>
      </x:c>
    </x:row>
    <x:row r="8" ht="52" customHeight="1">
      <x:c r="A8" s="58" t="str">
        <x:v>TB6612适用条件</x:v>
      </x:c>
      <x:c r="B8" s="59" t="str">
        <x:v>只有在单电机实测堵转电流接近或低于1A时继续使用。</x:v>
      </x:c>
      <x:c r="C8" s="62" t="str">
        <x:v>超过能力会导致芯片过热、限流或损坏，应更换更强驱动。</x:v>
      </x:c>
    </x:row>
    <x:row r="9" ht="52" customHeight="1">
      <x:c r="A9" s="58" t="str">
        <x:v>电商链接</x:v>
      </x:c>
      <x:c r="B9" s="59" t="str">
        <x:v>清单使用平台搜索链接；下单时比较近期评价、实拍、规格表和退换政策。</x:v>
      </x:c>
      <x:c r="C9" s="62" t="str">
        <x:v>单品详情页和价格变化快，搜索入口更耐用。</x:v>
      </x:c>
    </x:row>
    <x:row r="10" ht="52" customHeight="1">
      <x:c r="A10" s="58" t="str">
        <x:v>预算使用</x:v>
      </x:c>
      <x:c r="B10" s="59" t="str">
        <x:v>“是否计入当前预算”可改为是/按需/否；小计和总览会自动更新。</x:v>
      </x:c>
      <x:c r="C10" s="62" t="str">
        <x:v>已有工具可标记为否，实际单价可直接覆盖参考单价。</x:v>
      </x:c>
    </x:row>
    <x:row r="11" ht="52" customHeight="1">
      <x:c r="A11" s="58" t="str">
        <x:v>到货验收</x:v>
      </x:c>
      <x:c r="B11" s="59" t="str">
        <x:v>核对型号数量；万用表测短路；开发板先跑LED；电机逐个限流测试并记录。</x:v>
      </x:c>
      <x:c r="C11" s="62" t="str">
        <x:v>不要把所有器件一次接上电，便于隔离故障。</x:v>
      </x:c>
    </x:row>
    <x:row r="12" ht="52" customHeight="1">
      <x:c r="A12" s="60" t="str">
        <x:v>价格声明</x:v>
      </x:c>
      <x:c r="B12" s="61" t="str">
        <x:v>参考价为2026-08-02常见零售预算值，不代表指定商家承诺价，且未计运费。</x:v>
      </x:c>
      <x:c r="C12" s="63" t="str">
        <x:v>促销、地区、店铺、包装数量和开票要求都会改变价格。</x:v>
      </x:c>
    </x:row>
  </x:sheetData>
  <x:mergeCells>
    <x:mergeCell ref="A1:F1"/>
  </x:mergeCells>
  <x:pageMargins left="0.7" right="0.7" top="0.75" bottom="0.75" header="0.3" footer="0.3"/>
</x:worksheet>
</file>