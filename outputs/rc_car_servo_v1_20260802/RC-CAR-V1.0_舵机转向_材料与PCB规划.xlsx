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f13d5481a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架构总览" sheetId="1" r:id="R7f0cfebfdcc5469f"/>
    <x:sheet xmlns:r="http://schemas.openxmlformats.org/officeDocument/2006/relationships" name="材料清单" sheetId="2" r:id="R646921393c76480e"/>
    <x:sheet xmlns:r="http://schemas.openxmlformats.org/officeDocument/2006/relationships" name="车体PCB规划" sheetId="3" r:id="Rec2d98574dde49a2"/>
    <x:sheet xmlns:r="http://schemas.openxmlformats.org/officeDocument/2006/relationships" name="软件接口" sheetId="4" r:id="Rea6f068cf7f34e2a"/>
    <x:sheet xmlns:r="http://schemas.openxmlformats.org/officeDocument/2006/relationships" name="遥控器PCB规划" sheetId="5" r:id="Rc240465cdfee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7FBFF"/>
      </x:patternFill>
    </x:fill>
    <x:fill>
      <x:patternFill patternType="solid">
        <x:fgColor rgb="FFDDEB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5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/>
    <x:xf numFmtId="200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197aa36554250" /><Relationship Type="http://schemas.openxmlformats.org/officeDocument/2006/relationships/theme" Target="/xl/theme/theme1.xml" Id="Rc277c0c5f13745f0" /><Relationship Type="http://schemas.openxmlformats.org/officeDocument/2006/relationships/sharedStrings" Target="/xl/sharedStrings.xml" Id="Ra86c1f741fa94cf4" /><Relationship Type="http://schemas.openxmlformats.org/officeDocument/2006/relationships/worksheet" Target="/xl/worksheets/sheet1.xml" Id="R7f0cfebfdcc5469f" /><Relationship Type="http://schemas.openxmlformats.org/officeDocument/2006/relationships/worksheet" Target="/xl/worksheets/sheet2.xml" Id="R646921393c76480e" /><Relationship Type="http://schemas.openxmlformats.org/officeDocument/2006/relationships/worksheet" Target="/xl/worksheets/sheet3.xml" Id="Rec2d98574dde49a2" /><Relationship Type="http://schemas.openxmlformats.org/officeDocument/2006/relationships/worksheet" Target="/xl/worksheets/sheet4.xml" Id="Rea6f068cf7f34e2a" /><Relationship Type="http://schemas.openxmlformats.org/officeDocument/2006/relationships/worksheet" Target="/xl/worksheets/sheet5.xml" Id="Rc240465cdfee448b" /></Relationships>
</file>

<file path=xl/tables/table1.xml><?xml version="1.0" encoding="utf-8"?>
<x:table xmlns:x="http://schemas.openxmlformats.org/spreadsheetml/2006/main" id="1" name="ServoV1BomTable" displayName="ServoV1BomTable" ref="A4:K20" headerRowCount="1" totalsRowCount="0" totalsRowShown="0">
  <x:tableColumns count="11">
    <x:tableColumn id="1" name="类别"/>
    <x:tableColumn id="2" name="材料/模块"/>
    <x:tableColumn id="3" name="具体规格"/>
    <x:tableColumn id="4" name="V1数量"/>
    <x:tableColumn id="5" name="单位"/>
    <x:tableColumn id="6" name="扩展追加"/>
    <x:tableColumn id="7" name="采购状态"/>
    <x:tableColumn id="8" name="已知单价/支出(元)"/>
    <x:tableColumn id="9" name="阶段"/>
    <x:tableColumn id="10" name="V1用途"/>
    <x:tableColumn id="11" name="扩展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PcbPlanTable" displayName="CarPcbPlanTable" ref="A4:E14" headerRowCount="1" totalsRowCount="0" totalsRowShown="0">
  <x:tableColumns count="5">
    <x:tableColumn id="1" name="区域"/>
    <x:tableColumn id="2" name="V1装配"/>
    <x:tableColumn id="3" name="四轮差速扩展"/>
    <x:tableColumn id="4" name="接口/网络"/>
    <x:tableColumn id="5" name="关键要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ftwareArchitectureTable" displayName="SoftwareArchitectureTable" ref="A4:D12" headerRowCount="1" totalsRowCount="0" totalsRowShown="0">
  <x:tableColumns count="4">
    <x:tableColumn id="1" name="模块"/>
    <x:tableColumn id="2" name="接口/类"/>
    <x:tableColumn id="3" name="职责"/>
    <x:tableColumn id="4" name="扩展规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motePcbPlanTable" displayName="RemotePcbPlanTable" ref="A4:C12" headerRowCount="1" totalsRowCount="0" totalsRowShown="0">
  <x:tableColumns count="3">
    <x:tableColumn id="1" name="区域"/>
    <x:tableColumn id="2" name="具体设计"/>
    <x:tableColumn id="3" name="关键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90f80cf6fc43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70b5f084dd4e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f3875af3f243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b832c9f17948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4" max="4" width="18" hidden="0" customWidth="1"/>
    <x:col min="5" max="5" width="32" hidden="0" customWidth="1"/>
    <x:col min="6" max="6" width="32" hidden="0" customWidth="1"/>
    <x:col min="7" max="7" width="34" hidden="0" customWidth="1"/>
    <x:col min="8" max="8" width="32" hidden="0" customWidth="1"/>
  </x:cols>
  <x:sheetData>
    <x:row r="1" ht="34" customHeight="1">
      <x:c r="A1" s="5" t="str">
        <x:v>RC-CAR-V1.0：舵机转向 + 四轮差速扩展预留</x:v>
      </x:c>
      <x:c r="B1" s="5"/>
      <x:c r="C1" s="5"/>
      <x:c r="D1" s="5"/>
      <x:c r="E1" s="5"/>
      <x:c r="F1" s="5"/>
      <x:c r="G1" s="5"/>
      <x:c r="H1" s="5"/>
    </x:row>
    <x:row r="3">
      <x:c r="A3" s="10" t="str">
        <x:v>固定决策</x:v>
      </x:c>
      <x:c r="B3" s="10" t="str">
        <x:v>内容</x:v>
      </x:c>
      <x:c r="D3" s="10" t="str">
        <x:v>重要机械与电源边界</x:v>
      </x:c>
      <x:c r="E3" s="10"/>
      <x:c r="F3" s="10"/>
      <x:c r="G3" s="10"/>
      <x:c r="H3" s="10"/>
    </x:row>
    <x:row r="4" ht="42" customHeight="1">
      <x:c r="A4" s="18" t="str">
        <x:v>V1转向方式</x:v>
      </x:c>
      <x:c r="B4" s="19" t="str">
        <x:v>前轮舵机转向</x:v>
      </x:c>
      <x:c r="D4" s="42" t="str">
        <x:v>项目</x:v>
      </x:c>
      <x:c r="E4" s="43" t="str">
        <x:v>V1实现</x:v>
      </x:c>
      <x:c r="F4" s="43" t="str">
        <x:v>扩展预留</x:v>
      </x:c>
      <x:c r="G4" s="43" t="str">
        <x:v>禁止事项</x:v>
      </x:c>
      <x:c r="H4" s="44" t="str">
        <x:v>验收</x:v>
      </x:c>
    </x:row>
    <x:row r="5" ht="42" customHeight="1">
      <x:c r="A5" s="20" t="str">
        <x:v>V1驱动方式</x:v>
      </x:c>
      <x:c r="B5" s="21" t="str">
        <x:v>后轮双电机，同速输出</x:v>
      </x:c>
      <x:c r="D5" s="45" t="str">
        <x:v>底盘</x:v>
      </x:c>
      <x:c r="E5" s="46" t="str">
        <x:v>四轮、前轮转向节、后轮双电机</x:v>
      </x:c>
      <x:c r="F5" s="46" t="str">
        <x:v>前电机支架孔/槽</x:v>
      </x:c>
      <x:c r="G5" s="46" t="str">
        <x:v>固定四TT电机底盘直接用于V1</x:v>
      </x:c>
      <x:c r="H5" s="47" t="str">
        <x:v>舵机可带动前轮全行程</x:v>
      </x:c>
    </x:row>
    <x:row r="6" ht="42" customHeight="1">
      <x:c r="A6" s="20" t="str">
        <x:v>未来扩展</x:v>
      </x:c>
      <x:c r="B6" s="21" t="str">
        <x:v>四个固定驱动轮，左右分组差速</x:v>
      </x:c>
      <x:c r="D6" s="45" t="str">
        <x:v>控制板</x:v>
      </x:c>
      <x:c r="E6" s="46" t="str">
        <x:v>≤80×60mm、4×M3孔</x:v>
      </x:c>
      <x:c r="F6" s="46" t="str">
        <x:v>第二驱动和前轮接口</x:v>
      </x:c>
      <x:c r="G6" s="46" t="str">
        <x:v>先冻结未验证的GPIO</x:v>
      </x:c>
      <x:c r="H6" s="47" t="str">
        <x:v>实物测孔后冻结Gerber</x:v>
      </x:c>
    </x:row>
    <x:row r="7" ht="42" customHeight="1">
      <x:c r="A7" s="20" t="str">
        <x:v>V1驱动板</x:v>
      </x:c>
      <x:c r="B7" s="21" t="str">
        <x:v>TB6612FNG ×1</x:v>
      </x:c>
      <x:c r="D7" s="45" t="str">
        <x:v>舵机电源</x:v>
      </x:c>
      <x:c r="E7" s="46" t="str">
        <x:v>独立5V升降压支路</x:v>
      </x:c>
      <x:c r="F7" s="46" t="str">
        <x:v>扩展后仍保留</x:v>
      </x:c>
      <x:c r="G7" s="46" t="str">
        <x:v>从3V3脚供舵机</x:v>
      </x:c>
      <x:c r="H7" s="47" t="str">
        <x:v>转向时ESP32不复位</x:v>
      </x:c>
    </x:row>
    <x:row r="8" ht="42" customHeight="1">
      <x:c r="A8" s="22" t="str">
        <x:v>扩展驱动板</x:v>
      </x:c>
      <x:c r="B8" s="23" t="str">
        <x:v>追加TB6612FNG ×1</x:v>
      </x:c>
      <x:c r="D8" s="45" t="str">
        <x:v>电机电源</x:v>
      </x:c>
      <x:c r="E8" s="46" t="str">
        <x:v>4×AA镍氢→保护→VM</x:v>
      </x:c>
      <x:c r="F8" s="46" t="str">
        <x:v>按四电机电流复核</x:v>
      </x:c>
      <x:c r="G8" s="46" t="str">
        <x:v>电机电流走面包板</x:v>
      </x:c>
      <x:c r="H8" s="47" t="str">
        <x:v>堵转测试后确认余量</x:v>
      </x:c>
    </x:row>
    <x:row r="9" ht="42" customHeight="1">
      <x:c r="D9" s="48" t="str">
        <x:v>软件</x:v>
      </x:c>
      <x:c r="E9" s="49" t="str">
        <x:v>ServoSteeringDrive</x:v>
      </x:c>
      <x:c r="F9" s="49" t="str">
        <x:v>Differential4WD</x:v>
      </x:c>
      <x:c r="G9" s="49" t="str">
        <x:v>通信包绑定底盘结构</x:v>
      </x:c>
      <x:c r="H9" s="50" t="str">
        <x:v>切换模式不改通信层</x:v>
      </x:c>
    </x:row>
    <x:row r="10">
      <x:c r="A10" s="10" t="str">
        <x:v>采购统计</x:v>
      </x:c>
      <x:c r="B10" s="10" t="str">
        <x:v>数量</x:v>
      </x:c>
    </x:row>
    <x:row r="11">
      <x:c r="A11" s="12" t="str">
        <x:v>已下单条目</x:v>
      </x:c>
      <x:c r="B11" s="13" t="n">
        <x:f>COUNTIF('材料清单'!G5:G20,"已下单")</x:f>
        <x:v>2</x:v>
      </x:c>
    </x:row>
    <x:row r="12">
      <x:c r="A12" s="14" t="str">
        <x:v>V1待买条目</x:v>
      </x:c>
      <x:c r="B12" s="15" t="n">
        <x:f>COUNTIF('材料清单'!G5:G20,"待买")</x:f>
        <x:v>11</x:v>
      </x:c>
    </x:row>
    <x:row r="13">
      <x:c r="A13" s="14" t="str">
        <x:v>可后买/按需条目</x:v>
      </x:c>
      <x:c r="B13" s="15" t="n">
        <x:f>COUNTIF('材料清单'!G5:G20,"可后买")+COUNTIF('材料清单'!G5:G20,"按需")</x:f>
        <x:v>3</x:v>
      </x:c>
    </x:row>
    <x:row r="14">
      <x:c r="A14" s="16" t="str">
        <x:v>已知已花费</x:v>
      </x:c>
      <x:c r="B14" s="52" t="n">
        <x:f>SUMIFS('材料清单'!H5:H20,'材料清单'!G5:G20,"已下单")</x:f>
        <x:v>53.58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9" hidden="0" customWidth="1"/>
    <x:col min="5" max="5" width="8" hidden="0" customWidth="1"/>
    <x:col min="6" max="6" width="11" hidden="0" customWidth="1"/>
    <x:col min="7" max="7" width="12" hidden="0" customWidth="1"/>
    <x:col min="8" max="8" width="18" hidden="0" customWidth="1"/>
    <x:col min="9" max="9" width="13" hidden="0" customWidth="1"/>
    <x:col min="10" max="10" width="31" hidden="0" customWidth="1"/>
    <x:col min="11" max="11" width="35" hidden="0" customWidth="1"/>
  </x:cols>
  <x:sheetData>
    <x:row r="1" ht="34" customHeight="1">
      <x:c r="A1" s="5" t="str">
        <x:v>RC-CAR-V1.0 更新材料清单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8" customHeight="1">
      <x:c r="A2" s="55" t="str">
        <x:v>第一版只实现舵机转向；“扩展追加”表示升级四轮差速时新增数量。未选定具体商品的价格留空。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4">
      <x:c r="A4" s="10" t="str">
        <x:v>类别</x:v>
      </x:c>
      <x:c r="B4" s="10" t="str">
        <x:v>材料/模块</x:v>
      </x:c>
      <x:c r="C4" s="10" t="str">
        <x:v>具体规格</x:v>
      </x:c>
      <x:c r="D4" s="10" t="str">
        <x:v>V1数量</x:v>
      </x:c>
      <x:c r="E4" s="10" t="str">
        <x:v>单位</x:v>
      </x:c>
      <x:c r="F4" s="10" t="str">
        <x:v>扩展追加</x:v>
      </x:c>
      <x:c r="G4" s="10" t="str">
        <x:v>采购状态</x:v>
      </x:c>
      <x:c r="H4" s="10" t="str">
        <x:v>已知单价/支出(元)</x:v>
      </x:c>
      <x:c r="I4" s="10" t="str">
        <x:v>阶段</x:v>
      </x:c>
      <x:c r="J4" s="10" t="str">
        <x:v>V1用途</x:v>
      </x:c>
      <x:c r="K4" s="10" t="str">
        <x:v>扩展说明</x:v>
      </x:c>
    </x:row>
    <x:row r="5" ht="52" customHeight="1">
      <x:c r="A5" s="42" t="str">
        <x:v>主控与调试</x:v>
      </x:c>
      <x:c r="B5" s="43" t="str">
        <x:v>ESP32-C3 SuperMini开发板组合</x:v>
      </x:c>
      <x:c r="C5" s="43" t="str">
        <x:v>已焊排针；1块单板+套餐四中的1块</x:v>
      </x:c>
      <x:c r="D5" s="43" t="n">
        <x:v>1</x:v>
      </x:c>
      <x:c r="E5" s="43" t="str">
        <x:v>批</x:v>
      </x:c>
      <x:c r="F5" s="43" t="n">
        <x:v>0</x:v>
      </x:c>
      <x:c r="G5" s="43" t="str">
        <x:v>已下单</x:v>
      </x:c>
      <x:c r="H5" s="56" t="n">
        <x:v>53.58</x:v>
      </x:c>
      <x:c r="I5" s="43" t="str">
        <x:v>V1必需</x:v>
      </x:c>
      <x:c r="J5" s="43" t="str">
        <x:v>遥控器与车体各1块</x:v>
      </x:c>
      <x:c r="K5" s="44" t="str">
        <x:v>无需追加</x:v>
      </x:c>
    </x:row>
    <x:row r="6" ht="52" customHeight="1">
      <x:c r="A6" s="45" t="str">
        <x:v>主控与调试</x:v>
      </x:c>
      <x:c r="B6" s="46" t="str">
        <x:v>830孔面包板、跳线、USB数据线、0.96寸屏</x:v>
      </x:c>
      <x:c r="C6" s="46" t="str">
        <x:v>已包含在已下单套餐四中</x:v>
      </x:c>
      <x:c r="D6" s="46" t="n">
        <x:v>1</x:v>
      </x:c>
      <x:c r="E6" s="46" t="str">
        <x:v>套</x:v>
      </x:c>
      <x:c r="F6" s="46" t="n">
        <x:v>0</x:v>
      </x:c>
      <x:c r="G6" s="46" t="str">
        <x:v>已下单</x:v>
      </x:c>
      <x:c r="H6" s="57" t="n">
        <x:v>0</x:v>
      </x:c>
      <x:c r="I6" s="46" t="str">
        <x:v>V1必需</x:v>
      </x:c>
      <x:c r="J6" s="46" t="str">
        <x:v>原型搭建；显示屏可选</x:v>
      </x:c>
      <x:c r="K6" s="47" t="str">
        <x:v>无需追加</x:v>
      </x:c>
    </x:row>
    <x:row r="7" ht="52" customHeight="1">
      <x:c r="A7" s="45" t="str">
        <x:v>机械底盘</x:v>
      </x:c>
      <x:c r="B7" s="46" t="str">
        <x:v>四轮舵机转向底盘</x:v>
      </x:c>
      <x:c r="C7" s="46" t="str">
        <x:v>前轮转向节+拉杆；后轮双TT电机；四轮；安装件</x:v>
      </x:c>
      <x:c r="D7" s="46" t="n">
        <x:v>1</x:v>
      </x:c>
      <x:c r="E7" s="46" t="str">
        <x:v>套</x:v>
      </x:c>
      <x:c r="F7" s="46" t="n">
        <x:v>0</x:v>
      </x:c>
      <x:c r="G7" s="46" t="str">
        <x:v>待买</x:v>
      </x:c>
      <x:c r="H7" s="57"/>
      <x:c r="I7" s="46" t="str">
        <x:v>V1必需</x:v>
      </x:c>
      <x:c r="J7" s="46" t="str">
        <x:v>第一版机械主体</x:v>
      </x:c>
      <x:c r="K7" s="47" t="str">
        <x:v>未来用固定前电机支架替换转向前桥</x:v>
      </x:c>
    </x:row>
    <x:row r="8" ht="52" customHeight="1">
      <x:c r="A8" s="45" t="str">
        <x:v>转向</x:v>
      </x:c>
      <x:c r="B8" s="46" t="str">
        <x:v>MG90S金属齿9g舵机</x:v>
      </x:c>
      <x:c r="C8" s="46" t="str">
        <x:v>4.8–6V；标准3线；含舵盘</x:v>
      </x:c>
      <x:c r="D8" s="46" t="n">
        <x:v>1</x:v>
      </x:c>
      <x:c r="E8" s="46" t="str">
        <x:v>个</x:v>
      </x:c>
      <x:c r="F8" s="46" t="n">
        <x:v>0</x:v>
      </x:c>
      <x:c r="G8" s="46" t="str">
        <x:v>待买</x:v>
      </x:c>
      <x:c r="H8" s="57"/>
      <x:c r="I8" s="46" t="str">
        <x:v>V1必需</x:v>
      </x:c>
      <x:c r="J8" s="46" t="str">
        <x:v>前轮转向</x:v>
      </x:c>
      <x:c r="K8" s="47" t="str">
        <x:v>差速模式可锁中或拆除</x:v>
      </x:c>
    </x:row>
    <x:row r="9" ht="52" customHeight="1">
      <x:c r="A9" s="45" t="str">
        <x:v>电机驱动</x:v>
      </x:c>
      <x:c r="B9" s="46" t="str">
        <x:v>TB6612FNG双路驱动模块</x:v>
      </x:c>
      <x:c r="C9" s="46" t="str">
        <x:v>已焊排针；VCC必须支持3.3V逻辑</x:v>
      </x:c>
      <x:c r="D9" s="46" t="n">
        <x:v>1</x:v>
      </x:c>
      <x:c r="E9" s="46" t="str">
        <x:v>块</x:v>
      </x:c>
      <x:c r="F9" s="46" t="n">
        <x:v>1</x:v>
      </x:c>
      <x:c r="G9" s="46" t="str">
        <x:v>待买</x:v>
      </x:c>
      <x:c r="H9" s="57" t="n">
        <x:v>13.11</x:v>
      </x:c>
      <x:c r="I9" s="46" t="str">
        <x:v>V1必需</x:v>
      </x:c>
      <x:c r="J9" s="46" t="str">
        <x:v>控制后左/后右电机</x:v>
      </x:c>
      <x:c r="K9" s="47" t="str">
        <x:v>追加1块控制前左/前右电机</x:v>
      </x:c>
    </x:row>
    <x:row r="10" ht="52" customHeight="1">
      <x:c r="A10" s="45" t="str">
        <x:v>遥控输入</x:v>
      </x:c>
      <x:c r="B10" s="46" t="str">
        <x:v>PS2双轴10kΩ摇杆模块</x:v>
      </x:c>
      <x:c r="C10" s="46" t="str">
        <x:v>3.3V供电；配5P线或已焊排针</x:v>
      </x:c>
      <x:c r="D10" s="46" t="n">
        <x:v>1</x:v>
      </x:c>
      <x:c r="E10" s="46" t="str">
        <x:v>个</x:v>
      </x:c>
      <x:c r="F10" s="46" t="n">
        <x:v>0</x:v>
      </x:c>
      <x:c r="G10" s="46" t="str">
        <x:v>待买</x:v>
      </x:c>
      <x:c r="H10" s="57"/>
      <x:c r="I10" s="46" t="str">
        <x:v>V1必需</x:v>
      </x:c>
      <x:c r="J10" s="46" t="str">
        <x:v>油门与转向输入</x:v>
      </x:c>
      <x:c r="K10" s="47" t="str">
        <x:v>软件协议不变</x:v>
      </x:c>
    </x:row>
    <x:row r="11" ht="52" customHeight="1">
      <x:c r="A11" s="45" t="str">
        <x:v>车体供电</x:v>
      </x:c>
      <x:c r="B11" s="46" t="str">
        <x:v>4节AA电池盒</x:v>
      </x:c>
      <x:c r="C11" s="46" t="str">
        <x:v>带开关优先；低电阻引线</x:v>
      </x:c>
      <x:c r="D11" s="46" t="n">
        <x:v>1</x:v>
      </x:c>
      <x:c r="E11" s="46" t="str">
        <x:v>个</x:v>
      </x:c>
      <x:c r="F11" s="46" t="n">
        <x:v>0</x:v>
      </x:c>
      <x:c r="G11" s="46" t="str">
        <x:v>待买</x:v>
      </x:c>
      <x:c r="H11" s="57"/>
      <x:c r="I11" s="46" t="str">
        <x:v>V1必需</x:v>
      </x:c>
      <x:c r="J11" s="46" t="str">
        <x:v>车体电池输入</x:v>
      </x:c>
      <x:c r="K11" s="47" t="str">
        <x:v>四电机前复核触点电流能力</x:v>
      </x:c>
    </x:row>
    <x:row r="12" ht="52" customHeight="1">
      <x:c r="A12" s="45" t="str">
        <x:v>车体供电</x:v>
      </x:c>
      <x:c r="B12" s="46" t="str">
        <x:v>AA镍氢充电电池</x:v>
      </x:c>
      <x:c r="C12" s="46" t="str">
        <x:v>同品牌同容量，建议低内阻</x:v>
      </x:c>
      <x:c r="D12" s="46" t="n">
        <x:v>4</x:v>
      </x:c>
      <x:c r="E12" s="46" t="str">
        <x:v>节</x:v>
      </x:c>
      <x:c r="F12" s="46" t="n">
        <x:v>0</x:v>
      </x:c>
      <x:c r="G12" s="46" t="str">
        <x:v>待买</x:v>
      </x:c>
      <x:c r="H12" s="57"/>
      <x:c r="I12" s="46" t="str">
        <x:v>V1必需</x:v>
      </x:c>
      <x:c r="J12" s="46" t="str">
        <x:v>标称约4.8V</x:v>
      </x:c>
      <x:c r="K12" s="47" t="str">
        <x:v>四电机时可能需要更高放电能力</x:v>
      </x:c>
    </x:row>
    <x:row r="13" ht="52" customHeight="1">
      <x:c r="A13" s="45" t="str">
        <x:v>车体供电</x:v>
      </x:c>
      <x:c r="B13" s="46" t="str">
        <x:v>AA/AAA镍氢充电器</x:v>
      </x:c>
      <x:c r="C13" s="46" t="str">
        <x:v>独立槽检测优先</x:v>
      </x:c>
      <x:c r="D13" s="46" t="n">
        <x:v>1</x:v>
      </x:c>
      <x:c r="E13" s="46" t="str">
        <x:v>台</x:v>
      </x:c>
      <x:c r="F13" s="46" t="n">
        <x:v>0</x:v>
      </x:c>
      <x:c r="G13" s="46" t="str">
        <x:v>待买</x:v>
      </x:c>
      <x:c r="H13" s="57"/>
      <x:c r="I13" s="46" t="str">
        <x:v>V1必需</x:v>
      </x:c>
      <x:c r="J13" s="46" t="str">
        <x:v>电池充电</x:v>
      </x:c>
      <x:c r="K13" s="47" t="str">
        <x:v>无需追加</x:v>
      </x:c>
    </x:row>
    <x:row r="14" ht="52" customHeight="1">
      <x:c r="A14" s="45" t="str">
        <x:v>舵机电源</x:v>
      </x:c>
      <x:c r="B14" s="46" t="str">
        <x:v>5V升降压模块</x:v>
      </x:c>
      <x:c r="C14" s="46" t="str">
        <x:v>输入覆盖4节AA；持续≥1A、瞬态≥2A</x:v>
      </x:c>
      <x:c r="D14" s="46" t="n">
        <x:v>1</x:v>
      </x:c>
      <x:c r="E14" s="46" t="str">
        <x:v>块</x:v>
      </x:c>
      <x:c r="F14" s="46" t="n">
        <x:v>0</x:v>
      </x:c>
      <x:c r="G14" s="46" t="str">
        <x:v>待买</x:v>
      </x:c>
      <x:c r="H14" s="57"/>
      <x:c r="I14" s="46" t="str">
        <x:v>V1必需</x:v>
      </x:c>
      <x:c r="J14" s="46" t="str">
        <x:v>独立SERVO_5V支路</x:v>
      </x:c>
      <x:c r="K14" s="47" t="str">
        <x:v>未来仍保留</x:v>
      </x:c>
    </x:row>
    <x:row r="15" ht="52" customHeight="1">
      <x:c r="A15" s="45" t="str">
        <x:v>遥控器供电</x:v>
      </x:c>
      <x:c r="B15" s="46" t="str">
        <x:v>4节AAA电池盒+AAA镍氢电池</x:v>
      </x:c>
      <x:c r="C15" s="46" t="str">
        <x:v>可先USB供电调试，后续再买</x:v>
      </x:c>
      <x:c r="D15" s="46" t="n">
        <x:v>1</x:v>
      </x:c>
      <x:c r="E15" s="46" t="str">
        <x:v>组</x:v>
      </x:c>
      <x:c r="F15" s="46" t="n">
        <x:v>0</x:v>
      </x:c>
      <x:c r="G15" s="46" t="str">
        <x:v>可后买</x:v>
      </x:c>
      <x:c r="H15" s="57"/>
      <x:c r="I15" s="46" t="str">
        <x:v>整车无线必需</x:v>
      </x:c>
      <x:c r="J15" s="46" t="str">
        <x:v>遥控器脱线运行</x:v>
      </x:c>
      <x:c r="K15" s="47" t="str">
        <x:v>无需追加</x:v>
      </x:c>
    </x:row>
    <x:row r="16" ht="52" customHeight="1">
      <x:c r="A16" s="45" t="str">
        <x:v>抗干扰</x:v>
      </x:c>
      <x:c r="B16" s="46" t="str">
        <x:v>100nF陶瓷电容</x:v>
      </x:c>
      <x:c r="C16" s="46" t="str">
        <x:v>50V；每台电机端子并1只</x:v>
      </x:c>
      <x:c r="D16" s="46" t="n">
        <x:v>2</x:v>
      </x:c>
      <x:c r="E16" s="46" t="str">
        <x:v>只</x:v>
      </x:c>
      <x:c r="F16" s="46" t="n">
        <x:v>2</x:v>
      </x:c>
      <x:c r="G16" s="46" t="str">
        <x:v>待买</x:v>
      </x:c>
      <x:c r="H16" s="57"/>
      <x:c r="I16" s="46" t="str">
        <x:v>V1必需</x:v>
      </x:c>
      <x:c r="J16" s="46" t="str">
        <x:v>后轮两电机抑制干扰</x:v>
      </x:c>
      <x:c r="K16" s="47" t="str">
        <x:v>扩展前轮再加2只</x:v>
      </x:c>
    </x:row>
    <x:row r="17" ht="52" customHeight="1">
      <x:c r="A17" s="45" t="str">
        <x:v>滤波</x:v>
      </x:c>
      <x:c r="B17" s="46" t="str">
        <x:v>470–1000µF电解电容</x:v>
      </x:c>
      <x:c r="C17" s="46" t="str">
        <x:v>耐压≥10V，低ESR优先</x:v>
      </x:c>
      <x:c r="D17" s="46" t="n">
        <x:v>2</x:v>
      </x:c>
      <x:c r="E17" s="46" t="str">
        <x:v>只</x:v>
      </x:c>
      <x:c r="F17" s="46" t="n">
        <x:v>1</x:v>
      </x:c>
      <x:c r="G17" s="46" t="str">
        <x:v>待买</x:v>
      </x:c>
      <x:c r="H17" s="57"/>
      <x:c r="I17" s="46" t="str">
        <x:v>V1必需</x:v>
      </x:c>
      <x:c r="J17" s="46" t="str">
        <x:v>电机VM与舵机5V各1只</x:v>
      </x:c>
      <x:c r="K17" s="47" t="str">
        <x:v>第二驱动附近再加1只</x:v>
      </x:c>
    </x:row>
    <x:row r="18" ht="52" customHeight="1">
      <x:c r="A18" s="45" t="str">
        <x:v>布线保护</x:v>
      </x:c>
      <x:c r="B18" s="46" t="str">
        <x:v>22AWG红黑线、热缩管、连接器、电源开关</x:v>
      </x:c>
      <x:c r="C18" s="46" t="str">
        <x:v>电机和电池回路不用细杜邦线</x:v>
      </x:c>
      <x:c r="D18" s="46" t="n">
        <x:v>1</x:v>
      </x:c>
      <x:c r="E18" s="46" t="str">
        <x:v>批</x:v>
      </x:c>
      <x:c r="F18" s="46" t="n">
        <x:v>1</x:v>
      </x:c>
      <x:c r="G18" s="46" t="str">
        <x:v>待买</x:v>
      </x:c>
      <x:c r="H18" s="57"/>
      <x:c r="I18" s="46" t="str">
        <x:v>V1必需</x:v>
      </x:c>
      <x:c r="J18" s="46" t="str">
        <x:v>可靠电源与电机布线</x:v>
      </x:c>
      <x:c r="K18" s="47" t="str">
        <x:v>扩展增加前轮线束</x:v>
      </x:c>
    </x:row>
    <x:row r="19" ht="52" customHeight="1">
      <x:c r="A19" s="45" t="str">
        <x:v>测试工具</x:v>
      </x:c>
      <x:c r="B19" s="46" t="str">
        <x:v>数字万用表</x:v>
      </x:c>
      <x:c r="C19" s="46" t="str">
        <x:v>直流电流档、通断档</x:v>
      </x:c>
      <x:c r="D19" s="46" t="n">
        <x:v>1</x:v>
      </x:c>
      <x:c r="E19" s="46" t="str">
        <x:v>台</x:v>
      </x:c>
      <x:c r="F19" s="46" t="n">
        <x:v>0</x:v>
      </x:c>
      <x:c r="G19" s="46" t="str">
        <x:v>按需</x:v>
      </x:c>
      <x:c r="H19" s="57"/>
      <x:c r="I19" s="46" t="str">
        <x:v>强烈建议</x:v>
      </x:c>
      <x:c r="J19" s="46" t="str">
        <x:v>电机电流与短路检查</x:v>
      </x:c>
      <x:c r="K19" s="47" t="str">
        <x:v>无需追加</x:v>
      </x:c>
    </x:row>
    <x:row r="20" ht="52" customHeight="1">
      <x:c r="A20" s="48" t="str">
        <x:v>测试工具</x:v>
      </x:c>
      <x:c r="B20" s="49" t="str">
        <x:v>可调限流电源</x:v>
      </x:c>
      <x:c r="C20" s="49" t="str">
        <x:v>0–6V范围可调，支持限流</x:v>
      </x:c>
      <x:c r="D20" s="49" t="n">
        <x:v>1</x:v>
      </x:c>
      <x:c r="E20" s="49" t="str">
        <x:v>台</x:v>
      </x:c>
      <x:c r="F20" s="49" t="n">
        <x:v>0</x:v>
      </x:c>
      <x:c r="G20" s="49" t="str">
        <x:v>按需</x:v>
      </x:c>
      <x:c r="H20" s="58"/>
      <x:c r="I20" s="49" t="str">
        <x:v>强烈建议</x:v>
      </x:c>
      <x:c r="J20" s="49" t="str">
        <x:v>测电机启动/堵转电流</x:v>
      </x:c>
      <x:c r="K20" s="50" t="str">
        <x:v>四电机扩展前必须测量</x:v>
      </x:c>
    </x:row>
  </x:sheetData>
  <x:mergeCells>
    <x:mergeCell ref="A1:K1"/>
    <x:mergeCell ref="A2:K2"/>
  </x:mergeCells>
  <x:conditionalFormatting sqref="G5:G20">
    <x:cfRule type="containsText" dxfId="0" priority="1" operator="containsText" text="已下单"/>
    <x:cfRule type="containsText" dxfId="1" priority="2" operator="containsText" text="待买"/>
    <x:cfRule type="containsText" dxfId="2" priority="3" operator="containsText" text="可后买"/>
    <x:cfRule type="containsText" dxfId="3" priority="4" operator="containsText" text="按需"/>
  </x:conditionalFormatting>
  <x:dataValidations count="1">
    <x:dataValidation type="list" sqref="G5:G20">
      <x:formula1>"已下单,待买,可后买,按需"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90f80cf6fc43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44" hidden="0" customWidth="1"/>
    <x:col min="5" max="5" width="42" hidden="0" customWidth="1"/>
  </x:cols>
  <x:sheetData>
    <x:row r="1" ht="34" customHeight="1">
      <x:c r="A1" s="5" t="str">
        <x:v>RC-CAR-CONTROLLER-V1.0 车体PCB规划</x:v>
      </x:c>
      <x:c r="B1" s="5"/>
      <x:c r="C1" s="5"/>
      <x:c r="D1" s="5"/>
      <x:c r="E1" s="5"/>
    </x:row>
    <x:row r="2" ht="38" customHeight="1">
      <x:c r="A2" s="55" t="str">
        <x:v>Driver A在V1装配；Driver B和前轮电机接口只预留。GPIO号码在开发板原型验证后冻结。</x:v>
      </x:c>
      <x:c r="B2" s="55"/>
      <x:c r="C2" s="55"/>
      <x:c r="D2" s="55"/>
      <x:c r="E2" s="55"/>
    </x:row>
    <x:row r="4">
      <x:c r="A4" s="10" t="str">
        <x:v>区域</x:v>
      </x:c>
      <x:c r="B4" s="10" t="str">
        <x:v>V1装配</x:v>
      </x:c>
      <x:c r="C4" s="10" t="str">
        <x:v>四轮差速扩展</x:v>
      </x:c>
      <x:c r="D4" s="10" t="str">
        <x:v>接口/网络</x:v>
      </x:c>
      <x:c r="E4" s="10" t="str">
        <x:v>关键要求</x:v>
      </x:c>
    </x:row>
    <x:row r="5" ht="54" customHeight="1">
      <x:c r="A5" s="42" t="str">
        <x:v>板框与安装</x:v>
      </x:c>
      <x:c r="B5" s="43" t="str">
        <x:v>80mm×60mm以内；4×M3孔</x:v>
      </x:c>
      <x:c r="C5" s="43" t="str">
        <x:v>保持相同板框</x:v>
      </x:c>
      <x:c r="D5" s="43" t="str">
        <x:v>孔径3.2mm；建议中心距72mm×52mm</x:v>
      </x:c>
      <x:c r="E5" s="44" t="str">
        <x:v>选定底盘实测后再冻结Gerber</x:v>
      </x:c>
    </x:row>
    <x:row r="6" ht="54" customHeight="1">
      <x:c r="A6" s="45" t="str">
        <x:v>主控</x:v>
      </x:c>
      <x:c r="B6" s="46" t="str">
        <x:v>SuperMini插座或ESP32-C3-MINI-1</x:v>
      </x:c>
      <x:c r="C6" s="46" t="str">
        <x:v>不变</x:v>
      </x:c>
      <x:c r="D6" s="46" t="str">
        <x:v>3V3/GND/USB/BOOT/RESET/UART测试点</x:v>
      </x:c>
      <x:c r="E6" s="47" t="str">
        <x:v>天线朝板边并设置净空</x:v>
      </x:c>
    </x:row>
    <x:row r="7" ht="54" customHeight="1">
      <x:c r="A7" s="45" t="str">
        <x:v>驱动A</x:v>
      </x:c>
      <x:c r="B7" s="46" t="str">
        <x:v>装配1组TB6612，控制后左/后右</x:v>
      </x:c>
      <x:c r="C7" s="46" t="str">
        <x:v>继续使用</x:v>
      </x:c>
      <x:c r="D7" s="46" t="str">
        <x:v>M_REAR_L、M_REAR_R</x:v>
      </x:c>
      <x:c r="E7" s="47" t="str">
        <x:v>VCC=3.3V；VM接VBAT_MOTOR</x:v>
      </x:c>
    </x:row>
    <x:row r="8" ht="54" customHeight="1">
      <x:c r="A8" s="45" t="str">
        <x:v>驱动B</x:v>
      </x:c>
      <x:c r="B8" s="46" t="str">
        <x:v>只留插座/焊盘，不装</x:v>
      </x:c>
      <x:c r="C8" s="46" t="str">
        <x:v>装配后控制前左/前右</x:v>
      </x:c>
      <x:c r="D8" s="46" t="str">
        <x:v>M_FRONT_L、M_FRONT_R</x:v>
      </x:c>
      <x:c r="E8" s="47" t="str">
        <x:v>与驱动A共享左右逻辑网络</x:v>
      </x:c>
    </x:row>
    <x:row r="9" ht="54" customHeight="1">
      <x:c r="A9" s="45" t="str">
        <x:v>左右控制网络</x:v>
      </x:c>
      <x:c r="B9" s="46" t="str">
        <x:v>V1左右后轮命令相同</x:v>
      </x:c>
      <x:c r="C9" s="46" t="str">
        <x:v>左侧前后同命令、右侧前后同命令</x:v>
      </x:c>
      <x:c r="D9" s="46" t="str">
        <x:v>LEFT_IN1/IN2/PWM；RIGHT_IN1/IN2/PWM；STBY</x:v>
      </x:c>
      <x:c r="E9" s="47" t="str">
        <x:v>不要求四轮独立闭环</x:v>
      </x:c>
    </x:row>
    <x:row r="10" ht="54" customHeight="1">
      <x:c r="A10" s="45" t="str">
        <x:v>舵机接口</x:v>
      </x:c>
      <x:c r="B10" s="46" t="str">
        <x:v>装配标准3针接口</x:v>
      </x:c>
      <x:c r="C10" s="46" t="str">
        <x:v>保留，可锁中或停用</x:v>
      </x:c>
      <x:c r="D10" s="46" t="str">
        <x:v>GND/SERVO_5V/SERVO_PWM</x:v>
      </x:c>
      <x:c r="E10" s="47" t="str">
        <x:v>严禁从3V3脚给舵机供电</x:v>
      </x:c>
    </x:row>
    <x:row r="11" ht="54" customHeight="1">
      <x:c r="A11" s="45" t="str">
        <x:v>电池输入</x:v>
      </x:c>
      <x:c r="B11" s="46" t="str">
        <x:v>装配</x:v>
      </x:c>
      <x:c r="C11" s="46" t="str">
        <x:v>不变</x:v>
      </x:c>
      <x:c r="D11" s="46" t="str">
        <x:v>BAT+/BAT-/SW/FUSE/REV_PROTECT</x:v>
      </x:c>
      <x:c r="E11" s="47" t="str">
        <x:v>USB 5V不得与电池硬并联</x:v>
      </x:c>
    </x:row>
    <x:row r="12" ht="54" customHeight="1">
      <x:c r="A12" s="45" t="str">
        <x:v>电源分区</x:v>
      </x:c>
      <x:c r="B12" s="46" t="str">
        <x:v>VBAT_MOTOR、SERVO_5V、3V3_LOGIC</x:v>
      </x:c>
      <x:c r="C12" s="46" t="str">
        <x:v>增加第二驱动负载</x:v>
      </x:c>
      <x:c r="D12" s="46" t="str">
        <x:v>星形回地；电源测试点</x:v>
      </x:c>
      <x:c r="E12" s="47" t="str">
        <x:v>舵机和电机回流不得穿过ESP32区域</x:v>
      </x:c>
    </x:row>
    <x:row r="13" ht="54" customHeight="1">
      <x:c r="A13" s="45" t="str">
        <x:v>滤波</x:v>
      </x:c>
      <x:c r="B13" s="46" t="str">
        <x:v>VM 470–1000µF；SERVO_5V 1000µF</x:v>
      </x:c>
      <x:c r="C13" s="46" t="str">
        <x:v>驱动B旁追加大电容</x:v>
      </x:c>
      <x:c r="D13" s="46" t="str">
        <x:v>各芯片100nF+10µF</x:v>
      </x:c>
      <x:c r="E13" s="47" t="str">
        <x:v>电机端每台另焊100nF</x:v>
      </x:c>
    </x:row>
    <x:row r="14" ht="54" customHeight="1">
      <x:c r="A14" s="48" t="str">
        <x:v>检测与扩展</x:v>
      </x:c>
      <x:c r="B14" s="49" t="str">
        <x:v>BAT_ADC、I2C显示、状态LED</x:v>
      </x:c>
      <x:c r="C14" s="49" t="str">
        <x:v>保留</x:v>
      </x:c>
      <x:c r="D14" s="49" t="str">
        <x:v>ADC分压、SDA/SCL、扩展排针</x:v>
      </x:c>
      <x:c r="E14" s="50" t="str">
        <x:v>GPIO号码在原型验证后冻结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670b5f084dd4e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56" hidden="0" customWidth="1"/>
    <x:col min="4" max="4" width="48" hidden="0" customWidth="1"/>
  </x:cols>
  <x:sheetData>
    <x:row r="1" ht="34" customHeight="1">
      <x:c r="A1" s="5" t="str">
        <x:v>软件架构：舵机转向与四轮差速共用通信层</x:v>
      </x:c>
      <x:c r="B1" s="5"/>
      <x:c r="C1" s="5"/>
      <x:c r="D1" s="5"/>
    </x:row>
    <x:row r="2" ht="38" customHeight="1">
      <x:c r="A2" s="55" t="str">
        <x:v>通过DriveMode切换执行策略，不能复制两套无线通信、失联保护或摇杆校准代码。</x:v>
      </x:c>
      <x:c r="B2" s="55"/>
      <x:c r="C2" s="55"/>
      <x:c r="D2" s="55"/>
    </x:row>
    <x:row r="4">
      <x:c r="A4" s="10" t="str">
        <x:v>模块</x:v>
      </x:c>
      <x:c r="B4" s="10" t="str">
        <x:v>接口/类</x:v>
      </x:c>
      <x:c r="C4" s="10" t="str">
        <x:v>职责</x:v>
      </x:c>
      <x:c r="D4" s="10" t="str">
        <x:v>扩展规则</x:v>
      </x:c>
    </x:row>
    <x:row r="5" ht="54" customHeight="1">
      <x:c r="A5" s="42" t="str">
        <x:v>通信数据包</x:v>
      </x:c>
      <x:c r="B5" s="43" t="str">
        <x:v>RcPacket</x:v>
      </x:c>
      <x:c r="C5" s="43" t="str">
        <x:v>throttle、steering、buttons、sequence、checksum</x:v>
      </x:c>
      <x:c r="D5" s="44" t="str">
        <x:v>两种底盘模式共用，禁止携带具体舵机角度或左右轮PWM</x:v>
      </x:c>
    </x:row>
    <x:row r="6" ht="54" customHeight="1">
      <x:c r="A6" s="45" t="str">
        <x:v>执行接口</x:v>
      </x:c>
      <x:c r="B6" s="46" t="str">
        <x:v>DriveController</x:v>
      </x:c>
      <x:c r="C6" s="46" t="str">
        <x:v>setCommand(throttle, steering)；stop()</x:v>
      </x:c>
      <x:c r="D6" s="47" t="str">
        <x:v>由具体驱动策略实现</x:v>
      </x:c>
    </x:row>
    <x:row r="7" ht="54" customHeight="1">
      <x:c r="A7" s="45" t="str">
        <x:v>V1策略</x:v>
      </x:c>
      <x:c r="B7" s="46" t="str">
        <x:v>ServoSteeringDrive</x:v>
      </x:c>
      <x:c r="C7" s="46" t="str">
        <x:v>后左=后右=throttle；steering→舵机角度</x:v>
      </x:c>
      <x:c r="D7" s="47" t="str">
        <x:v>舵机中心、左右端点和方向写入配置</x:v>
      </x:c>
    </x:row>
    <x:row r="8" ht="54" customHeight="1">
      <x:c r="A8" s="45" t="str">
        <x:v>扩展策略</x:v>
      </x:c>
      <x:c r="B8" s="46" t="str">
        <x:v>Differential4WD</x:v>
      </x:c>
      <x:c r="C8" s="46" t="str">
        <x:v>left=throttle+steering；right=throttle-steering</x:v>
      </x:c>
      <x:c r="D8" s="47" t="str">
        <x:v>结果限幅；同侧前后电机共享命令</x:v>
      </x:c>
    </x:row>
    <x:row r="9" ht="54" customHeight="1">
      <x:c r="A9" s="45" t="str">
        <x:v>模式选择</x:v>
      </x:c>
      <x:c r="B9" s="46" t="str">
        <x:v>DriveMode</x:v>
      </x:c>
      <x:c r="C9" s="46" t="str">
        <x:v>SERVO_STEERING / DIFFERENTIAL_4WD</x:v>
      </x:c>
      <x:c r="D9" s="47" t="str">
        <x:v>编译配置或NVS参数切换，不改无线协议</x:v>
      </x:c>
    </x:row>
    <x:row r="10" ht="54" customHeight="1">
      <x:c r="A10" s="45" t="str">
        <x:v>安全状态机</x:v>
      </x:c>
      <x:c r="B10" s="46" t="str">
        <x:v>Failsafe</x:v>
      </x:c>
      <x:c r="C10" s="46" t="str">
        <x:v>200ms无有效包：PWM=0、STBY=0、舵机回安全中位</x:v>
      </x:c>
      <x:c r="D10" s="47" t="str">
        <x:v>重新连接时摇杆不居中禁止解锁</x:v>
      </x:c>
    </x:row>
    <x:row r="11" ht="54" customHeight="1">
      <x:c r="A11" s="45" t="str">
        <x:v>电源监控</x:v>
      </x:c>
      <x:c r="B11" s="46" t="str">
        <x:v>BatteryMonitor</x:v>
      </x:c>
      <x:c r="C11" s="46" t="str">
        <x:v>BAT_ADC滤波、低电量状态</x:v>
      </x:c>
      <x:c r="D11" s="47" t="str">
        <x:v>阈值通过配置而不是散落在控制代码中</x:v>
      </x:c>
    </x:row>
    <x:row r="12" ht="54" customHeight="1">
      <x:c r="A12" s="48" t="str">
        <x:v>硬件抽象</x:v>
      </x:c>
      <x:c r="B12" s="49" t="str">
        <x:v>MotorDriver / ServoDriver</x:v>
      </x:c>
      <x:c r="C12" s="49" t="str">
        <x:v>控制层不直接操作GPIO</x:v>
      </x:c>
      <x:c r="D12" s="50" t="str">
        <x:v>未来更换驱动器时不改通信和控制算法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7f3875af3f243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54" hidden="0" customWidth="1"/>
  </x:cols>
  <x:sheetData>
    <x:row r="1" ht="34" customHeight="1">
      <x:c r="A1" s="5" t="str">
        <x:v>RC-REMOTE-V1.0 遥控器PCB规划</x:v>
      </x:c>
      <x:c r="B1" s="5"/>
      <x:c r="C1" s="5"/>
    </x:row>
    <x:row r="2" ht="38" customHeight="1">
      <x:c r="A2" s="55" t="str">
        <x:v>遥控器硬件和数据包不绑定车体转向结构，舵机转向与四轮差速共用同一遥控器。</x:v>
      </x:c>
      <x:c r="B2" s="55"/>
      <x:c r="C2" s="55"/>
    </x:row>
    <x:row r="4">
      <x:c r="A4" s="10" t="str">
        <x:v>区域</x:v>
      </x:c>
      <x:c r="B4" s="10" t="str">
        <x:v>具体设计</x:v>
      </x:c>
      <x:c r="C4" s="10" t="str">
        <x:v>关键要求</x:v>
      </x:c>
    </x:row>
    <x:row r="5" ht="52" customHeight="1">
      <x:c r="A5" s="42" t="str">
        <x:v>板框与安装</x:v>
      </x:c>
      <x:c r="B5" s="43" t="str">
        <x:v>建议≤70mm×50mm；4×M3孔</x:v>
      </x:c>
      <x:c r="C5" s="44" t="str">
        <x:v>外壳和摇杆实物确认后冻结</x:v>
      </x:c>
    </x:row>
    <x:row r="6" ht="52" customHeight="1">
      <x:c r="A6" s="45" t="str">
        <x:v>主控</x:v>
      </x:c>
      <x:c r="B6" s="46" t="str">
        <x:v>第二块ESP32-C3 SuperMini插座或ESP32-C3-MINI-1</x:v>
      </x:c>
      <x:c r="C6" s="47" t="str">
        <x:v>与车体端使用相同通信协议</x:v>
      </x:c>
    </x:row>
    <x:row r="7" ht="52" customHeight="1">
      <x:c r="A7" s="45" t="str">
        <x:v>摇杆</x:v>
      </x:c>
      <x:c r="B7" s="46" t="str">
        <x:v>VRX、VRY接两路ADC；SW接GPIO</x:v>
      </x:c>
      <x:c r="C7" s="47" t="str">
        <x:v>每路ADC预留1kΩ串联+100nF对地滤波</x:v>
      </x:c>
    </x:row>
    <x:row r="8" ht="52" customHeight="1">
      <x:c r="A8" s="45" t="str">
        <x:v>显示</x:v>
      </x:c>
      <x:c r="B8" s="46" t="str">
        <x:v>0.96英寸OLED I2C接口</x:v>
      </x:c>
      <x:c r="C8" s="47" t="str">
        <x:v>使用已购买显示屏；显示连接和电量状态</x:v>
      </x:c>
    </x:row>
    <x:row r="9" ht="52" customHeight="1">
      <x:c r="A9" s="45" t="str">
        <x:v>按键与指示</x:v>
      </x:c>
      <x:c r="B9" s="46" t="str">
        <x:v>至少2个功能按键+1个状态LED</x:v>
      </x:c>
      <x:c r="C9" s="47" t="str">
        <x:v>按键上拉/下拉状态必须确定</x:v>
      </x:c>
    </x:row>
    <x:row r="10" ht="52" customHeight="1">
      <x:c r="A10" s="45" t="str">
        <x:v>供电</x:v>
      </x:c>
      <x:c r="B10" s="46" t="str">
        <x:v>USB调试；4×AAA镍氢脱线运行</x:v>
      </x:c>
      <x:c r="C10" s="47" t="str">
        <x:v>USB与电池不得硬并联；独立3.3V稳压</x:v>
      </x:c>
    </x:row>
    <x:row r="11" ht="52" customHeight="1">
      <x:c r="A11" s="45" t="str">
        <x:v>调试接口</x:v>
      </x:c>
      <x:c r="B11" s="46" t="str">
        <x:v>USB-C、BOOT、RESET、UART测试点</x:v>
      </x:c>
      <x:c r="C11" s="47" t="str">
        <x:v>保留烧录和日志通道</x:v>
      </x:c>
    </x:row>
    <x:row r="12" ht="52" customHeight="1">
      <x:c r="A12" s="48" t="str">
        <x:v>软件边界</x:v>
      </x:c>
      <x:c r="B12" s="49" t="str">
        <x:v>只输出throttle、steering、buttons</x:v>
      </x:c>
      <x:c r="C12" s="50" t="str">
        <x:v>切换车体模式不改遥控器PCB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eb832c9f179480f"/>
  </x:tableParts>
</x:worksheet>
</file>