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485162c0e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览" sheetId="1" r:id="R102deadeb0604720"/>
    <x:sheet xmlns:r="http://schemas.openxmlformats.org/officeDocument/2006/relationships" name="器件清单" sheetId="2" r:id="Ra9445e6c4acd4abe"/>
    <x:sheet xmlns:r="http://schemas.openxmlformats.org/officeDocument/2006/relationships" name="选型与采购说明" sheetId="3" r:id="R8386b8257a0a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¥#,##0.00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4" fillId="5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4" fillId="5" borderId="11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4" fillId="5" borderId="10" xfId="0" applyNumberFormat="1" applyFont="1" applyFill="1" applyBorder="1" applyAlignment="1">
      <x:alignment vertical="top"/>
    </x:xf>
    <x:xf numFmtId="0" fontId="4" fillId="5" borderId="11" xfId="0" applyNumberFormat="1" applyFont="1" applyFill="1" applyBorder="1" applyAlignment="1">
      <x:alignment vertical="top"/>
    </x:xf>
    <x:xf numFmtId="200" fontId="4" fillId="5" borderId="11" xfId="0" applyNumberFormat="1" applyFont="1" applyFill="1" applyBorder="1" applyAlignment="1">
      <x:alignment vertical="top"/>
    </x:xf>
    <x:xf numFmtId="201" fontId="4" fillId="5" borderId="11" xfId="0" applyNumberFormat="1" applyFont="1" applyFill="1" applyBorder="1" applyAlignment="1">
      <x:alignment vertical="top"/>
    </x:xf>
    <x:xf numFmtId="0" fontId="4" fillId="5" borderId="1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202" fontId="0" fillId="7" borderId="9" xfId="0" applyNumberFormat="1" applyFont="1" applyFill="1" applyBorder="1"/>
    <x:xf numFmtId="0" fontId="0" fillId="7" borderId="9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201" fontId="0" fillId="7" borderId="3" xfId="0" applyNumberFormat="1" applyFont="1" applyFill="1" applyBorder="1"/>
    <x:xf numFmtId="201" fontId="0" fillId="7" borderId="6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1" fontId="0" fillId="7" borderId="3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/>
    </x:xf>
    <x:xf numFmtId="201" fontId="0" fillId="7" borderId="6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202" fontId="0" fillId="7" borderId="9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88415de364106" /><Relationship Type="http://schemas.openxmlformats.org/officeDocument/2006/relationships/theme" Target="/xl/theme/theme1.xml" Id="R12fb719068784827" /><Relationship Type="http://schemas.openxmlformats.org/officeDocument/2006/relationships/sharedStrings" Target="/xl/sharedStrings.xml" Id="Ra359f76eddb34377" /><Relationship Type="http://schemas.openxmlformats.org/officeDocument/2006/relationships/worksheet" Target="/xl/worksheets/sheet1.xml" Id="R102deadeb0604720" /><Relationship Type="http://schemas.openxmlformats.org/officeDocument/2006/relationships/worksheet" Target="/xl/worksheets/sheet2.xml" Id="Ra9445e6c4acd4abe" /><Relationship Type="http://schemas.openxmlformats.org/officeDocument/2006/relationships/worksheet" Target="/xl/worksheets/sheet3.xml" Id="R8386b8257a0a4cc6" /></Relationships>
</file>

<file path=xl/tables/table1.xml><?xml version="1.0" encoding="utf-8"?>
<x:table xmlns:x="http://schemas.openxmlformats.org/spreadsheetml/2006/main" id="1" name="RcCarBomTable" displayName="RcCarBomTable" ref="A4:M16" headerRowCount="1" totalsRowCount="0" totalsRowShown="0">
  <x:tableColumns count="13">
    <x:tableColumn id="1" name="类别"/>
    <x:tableColumn id="2" name="已选商品"/>
    <x:tableColumn id="3" name="下单时选择的具体规格"/>
    <x:tableColumn id="4" name="数量"/>
    <x:tableColumn id="5" name="单位"/>
    <x:tableColumn id="6" name="参考单价(元)"/>
    <x:tableColumn id="7" name="是否计入当前预算"/>
    <x:tableColumn id="8" name="采购阶段"/>
    <x:tableColumn id="9" name="平台"/>
    <x:tableColumn id="10" name="商品详情直达链接"/>
    <x:tableColumn id="11" name="小计(元)"/>
    <x:tableColumn id="12" name="下单与验收要点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eab6155288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6" hidden="0" customWidth="1"/>
    <x:col min="5" max="5" width="48" hidden="0" customWidth="1"/>
  </x:cols>
  <x:sheetData>
    <x:row r="1" ht="34" customHeight="1">
      <x:c r="A1" s="69" t="str">
        <x:v>RC-CAR-V1.0 采购预算总览</x:v>
      </x:c>
      <x:c r="B1" s="69"/>
      <x:c r="C1" s="69"/>
      <x:c r="D1" s="69"/>
      <x:c r="E1" s="69"/>
      <x:c r="F1" s="69"/>
      <x:c r="G1" s="69"/>
      <x:c r="H1" s="69"/>
    </x:row>
    <x:row r="2">
      <x:c r="A2" s="92"/>
      <x:c r="B2" s="92"/>
      <x:c r="C2" s="92"/>
      <x:c r="D2" s="92"/>
      <x:c r="E2" s="92"/>
      <x:c r="F2" s="92"/>
      <x:c r="G2" s="92"/>
      <x:c r="H2" s="92"/>
    </x:row>
    <x:row r="3">
      <x:c r="A3" s="93" t="str">
        <x:v>项目</x:v>
      </x:c>
      <x:c r="B3" s="93" t="str">
        <x:v>金额/数量</x:v>
      </x:c>
      <x:c r="C3" s="92"/>
      <x:c r="D3" s="93" t="str">
        <x:v>采购优先级</x:v>
      </x:c>
      <x:c r="E3" s="93" t="str">
        <x:v>建议</x:v>
      </x:c>
      <x:c r="F3" s="92"/>
      <x:c r="G3" s="92"/>
      <x:c r="H3" s="92"/>
    </x:row>
    <x:row r="4">
      <x:c r="A4" s="94" t="str">
        <x:v>当前必买预算</x:v>
      </x:c>
      <x:c r="B4" s="95" t="n">
        <x:f>ROUND(SUM('器件清单'!K5:K16),2)</x:f>
        <x:v>347.7</x:v>
      </x:c>
      <x:c r="C4" s="92"/>
      <x:c r="D4" s="96" t="str">
        <x:v>1</x:v>
      </x:c>
      <x:c r="E4" s="97" t="str">
        <x:v>先购买首批原型必买项</x:v>
      </x:c>
      <x:c r="F4" s="92"/>
      <x:c r="G4" s="92"/>
      <x:c r="H4" s="92"/>
    </x:row>
    <x:row r="5">
      <x:c r="A5" s="98" t="str">
        <x:v>如同时购买按需工具</x:v>
      </x:c>
      <x:c r="B5" s="99" t="n">
        <x:f>ROUND(SUMPRODUCT(('器件清单'!G5:G16="是")+('器件清单'!G5:G16="按需"),'器件清单'!D5:D16,'器件清单'!F5:F16),2)</x:f>
        <x:v>1095.7</x:v>
      </x:c>
      <x:c r="C5" s="92"/>
      <x:c r="D5" s="100" t="str">
        <x:v>2</x:v>
      </x:c>
      <x:c r="E5" s="101" t="str">
        <x:v>收到电机后实测空载及堵转电流</x:v>
      </x:c>
      <x:c r="F5" s="92"/>
      <x:c r="G5" s="92"/>
      <x:c r="H5" s="92"/>
    </x:row>
    <x:row r="6">
      <x:c r="A6" s="98" t="str">
        <x:v>完整清单预算</x:v>
      </x:c>
      <x:c r="B6" s="99" t="n">
        <x:f>ROUND(SUMPRODUCT('器件清单'!D5:D16,'器件清单'!F5:F16),2)</x:f>
        <x:v>1095.7</x:v>
      </x:c>
      <x:c r="C6" s="92"/>
      <x:c r="D6" s="100" t="str">
        <x:v>3</x:v>
      </x:c>
      <x:c r="E6" s="101" t="str">
        <x:v>有线原型通过后再做无线</x:v>
      </x:c>
      <x:c r="F6" s="92"/>
      <x:c r="G6" s="92"/>
      <x:c r="H6" s="92"/>
    </x:row>
    <x:row r="7">
      <x:c r="A7" s="98" t="str">
        <x:v>当前必买条目数</x:v>
      </x:c>
      <x:c r="B7" s="102" t="n">
        <x:f>COUNTIF('器件清单'!G5:G16,"是")</x:f>
        <x:v>9</x:v>
      </x:c>
      <x:c r="C7" s="92"/>
      <x:c r="D7" s="100" t="str">
        <x:v>4</x:v>
      </x:c>
      <x:c r="E7" s="101" t="str">
        <x:v>无线原型稳定后再买PCB物料</x:v>
      </x:c>
      <x:c r="F7" s="92"/>
      <x:c r="G7" s="92"/>
      <x:c r="H7" s="92"/>
    </x:row>
    <x:row r="8">
      <x:c r="A8" s="103" t="str">
        <x:v>查询日期</x:v>
      </x:c>
      <x:c r="B8" s="104" t="n">
        <x:v>46236</x:v>
      </x:c>
      <x:c r="C8" s="92"/>
      <x:c r="D8" s="100" t="str">
        <x:v>5</x:v>
      </x:c>
      <x:c r="E8" s="101" t="str">
        <x:v>已有工具不要重复购买</x:v>
      </x:c>
      <x:c r="F8" s="92"/>
      <x:c r="G8" s="92"/>
      <x:c r="H8" s="92"/>
    </x:row>
    <x:row r="9">
      <x:c r="A9" s="92"/>
      <x:c r="B9" s="92"/>
      <x:c r="C9" s="92"/>
      <x:c r="D9" s="105" t="str">
        <x:v>预算口径</x:v>
      </x:c>
      <x:c r="E9" s="106" t="str">
        <x:v>当前必买预算不含工具、PCB物料及运费</x:v>
      </x:c>
      <x:c r="F9" s="92"/>
      <x:c r="G9" s="92"/>
      <x:c r="H9" s="92"/>
    </x:row>
    <x:row r="10">
      <x:c r="A10" s="92"/>
      <x:c r="B10" s="92"/>
      <x:c r="C10" s="92"/>
      <x:c r="D10" s="92"/>
      <x:c r="E10" s="92"/>
      <x:c r="F10" s="92"/>
      <x:c r="G10" s="92"/>
      <x:c r="H10" s="92"/>
    </x:row>
    <x:row r="11">
      <x:c r="A11" s="107" t="str">
        <x:v>类别</x:v>
      </x:c>
      <x:c r="B11" s="107" t="str">
        <x:v>当前必买预算(元)</x:v>
      </x:c>
      <x:c r="C11" s="107" t="str">
        <x:v>条目数</x:v>
      </x:c>
      <x:c r="D11" s="92"/>
      <x:c r="E11" s="92"/>
      <x:c r="F11" s="92"/>
      <x:c r="G11" s="92"/>
      <x:c r="H11" s="92"/>
    </x:row>
    <x:row r="12">
      <x:c r="A12" s="108" t="str">
        <x:v>原型电子</x:v>
      </x:c>
      <x:c r="B12" s="109" t="n">
        <x:f>SUMIFS('器件清单'!K5:K16,'器件清单'!A5:A16,A12)</x:f>
        <x:v>87</x:v>
      </x:c>
      <x:c r="C12" s="110" t="n">
        <x:f>COUNTIFS('器件清单'!A5:A16,A12,'器件清单'!G5:G16,"是")</x:f>
        <x:v>2</x:v>
      </x:c>
      <x:c r="D12" s="92"/>
      <x:c r="E12" s="92"/>
      <x:c r="F12" s="92"/>
      <x:c r="G12" s="92"/>
      <x:c r="H12" s="92"/>
    </x:row>
    <x:row r="13">
      <x:c r="A13" s="111" t="str">
        <x:v>机械动力</x:v>
      </x:c>
      <x:c r="B13" s="112" t="n">
        <x:f>SUMIFS('器件清单'!K5:K16,'器件清单'!A5:A16,A13)</x:f>
        <x:v>59</x:v>
      </x:c>
      <x:c r="C13" s="113" t="n">
        <x:f>COUNTIFS('器件清单'!A5:A16,A13,'器件清单'!G5:G16,"是")</x:f>
        <x:v>1</x:v>
      </x:c>
      <x:c r="D13" s="92"/>
      <x:c r="E13" s="92"/>
      <x:c r="F13" s="92"/>
      <x:c r="G13" s="92"/>
      <x:c r="H13" s="92"/>
    </x:row>
    <x:row r="14">
      <x:c r="A14" s="111" t="str">
        <x:v>遥控输入</x:v>
      </x:c>
      <x:c r="B14" s="112" t="n">
        <x:f>SUMIFS('器件清单'!K5:K16,'器件清单'!A5:A16,A14)</x:f>
        <x:v>18</x:v>
      </x:c>
      <x:c r="C14" s="113" t="n">
        <x:f>COUNTIFS('器件清单'!A5:A16,A14,'器件清单'!G5:G16,"是")</x:f>
        <x:v>1</x:v>
      </x:c>
      <x:c r="D14" s="92"/>
      <x:c r="E14" s="92"/>
      <x:c r="F14" s="92"/>
      <x:c r="G14" s="92"/>
      <x:c r="H14" s="92"/>
    </x:row>
    <x:row r="15">
      <x:c r="A15" s="111" t="str">
        <x:v>原型连接</x:v>
      </x:c>
      <x:c r="B15" s="112" t="n">
        <x:f>SUMIFS('器件清单'!K5:K16,'器件清单'!A5:A16,A15)</x:f>
        <x:v>69</x:v>
      </x:c>
      <x:c r="C15" s="113" t="n">
        <x:f>COUNTIFS('器件清单'!A5:A16,A15,'器件清单'!G5:G16,"是")</x:f>
        <x:v>1</x:v>
      </x:c>
      <x:c r="D15" s="92"/>
      <x:c r="E15" s="92"/>
      <x:c r="F15" s="92"/>
      <x:c r="G15" s="92"/>
      <x:c r="H15" s="92"/>
    </x:row>
    <x:row r="16">
      <x:c r="A16" s="111" t="str">
        <x:v>调试连接</x:v>
      </x:c>
      <x:c r="B16" s="112" t="n">
        <x:f>SUMIFS('器件清单'!K5:K16,'器件清单'!A5:A16,A16)</x:f>
        <x:v>39.9</x:v>
      </x:c>
      <x:c r="C16" s="113" t="n">
        <x:f>COUNTIFS('器件清单'!A5:A16,A16,'器件清单'!G5:G16,"是")</x:f>
        <x:v>1</x:v>
      </x:c>
      <x:c r="D16" s="92"/>
      <x:c r="E16" s="92"/>
      <x:c r="F16" s="92"/>
      <x:c r="G16" s="92"/>
      <x:c r="H16" s="92"/>
    </x:row>
    <x:row r="17">
      <x:c r="A17" s="111" t="str">
        <x:v>供电</x:v>
      </x:c>
      <x:c r="B17" s="112" t="n">
        <x:f>SUMIFS('器件清单'!K5:K16,'器件清单'!A5:A16,A17)</x:f>
        <x:v>59.8</x:v>
      </x:c>
      <x:c r="C17" s="113" t="n">
        <x:f>COUNTIFS('器件清单'!A5:A16,A17,'器件清单'!G5:G16,"是")</x:f>
        <x:v>2</x:v>
      </x:c>
      <x:c r="D17" s="92"/>
      <x:c r="E17" s="92"/>
      <x:c r="F17" s="92"/>
      <x:c r="G17" s="92"/>
      <x:c r="H17" s="92"/>
    </x:row>
    <x:row r="18">
      <x:c r="A18" s="111" t="str">
        <x:v>抗干扰</x:v>
      </x:c>
      <x:c r="B18" s="112" t="n">
        <x:f>SUMIFS('器件清单'!K5:K16,'器件清单'!A5:A16,A18)</x:f>
        <x:v>15</x:v>
      </x:c>
      <x:c r="C18" s="113" t="n">
        <x:f>COUNTIFS('器件清单'!A5:A16,A18,'器件清单'!G5:G16,"是")</x:f>
        <x:v>1</x:v>
      </x:c>
      <x:c r="D18" s="92"/>
      <x:c r="E18" s="92"/>
      <x:c r="F18" s="92"/>
      <x:c r="G18" s="92"/>
      <x:c r="H18" s="92"/>
    </x:row>
    <x:row r="19">
      <x:c r="A19" s="111" t="str">
        <x:v>调试工具</x:v>
      </x:c>
      <x:c r="B19" s="112" t="n">
        <x:f>SUMIFS('器件清单'!K5:K16,'器件清单'!A5:A16,A19)</x:f>
        <x:v>0</x:v>
      </x:c>
      <x:c r="C19" s="113" t="n">
        <x:f>COUNTIFS('器件清单'!A5:A16,A19,'器件清单'!G5:G16,"是")</x:f>
        <x:v>0</x:v>
      </x:c>
      <x:c r="D19" s="92"/>
      <x:c r="E19" s="92"/>
      <x:c r="F19" s="92"/>
      <x:c r="G19" s="92"/>
      <x:c r="H19" s="92"/>
    </x:row>
    <x:row r="20">
      <x:c r="A20" s="114" t="str">
        <x:v>焊接工具</x:v>
      </x:c>
      <x:c r="B20" s="115" t="n">
        <x:f>SUMIFS('器件清单'!K5:K16,'器件清单'!A5:A16,A20)</x:f>
        <x:v>0</x:v>
      </x:c>
      <x:c r="C20" s="116" t="n">
        <x:f>COUNTIFS('器件清单'!A5:A16,A20,'器件清单'!G5:G16,"是")</x:f>
        <x:v>0</x:v>
      </x:c>
      <x:c r="D20" s="92"/>
      <x:c r="E20" s="92"/>
      <x:c r="F20" s="92"/>
      <x:c r="G20" s="92"/>
      <x:c r="H20" s="92"/>
    </x:row>
    <x:row r="21">
      <x:c r="A21" s="92"/>
      <x:c r="B21" s="92"/>
      <x:c r="C21" s="92"/>
      <x:c r="D21" s="92"/>
      <x:c r="E21" s="92"/>
      <x:c r="F21" s="92"/>
      <x:c r="G21" s="92"/>
      <x:c r="H21" s="92"/>
    </x:row>
    <x:row r="22">
      <x:c r="A22" s="92"/>
      <x:c r="B22" s="92"/>
      <x:c r="C22" s="92"/>
      <x:c r="D22" s="92"/>
      <x:c r="E22" s="92"/>
      <x:c r="F22" s="92"/>
      <x:c r="G22" s="92"/>
      <x:c r="H22" s="92"/>
    </x:row>
    <x:row r="23">
      <x:c r="A23" s="92"/>
      <x:c r="B23" s="92"/>
      <x:c r="C23" s="92"/>
      <x:c r="D23" s="92"/>
      <x:c r="E23" s="92"/>
      <x:c r="F23" s="92"/>
      <x:c r="G23" s="92"/>
      <x:c r="H23" s="92"/>
    </x:row>
    <x:row r="24">
      <x:c r="A24" s="92"/>
      <x:c r="B24" s="92"/>
      <x:c r="C24" s="92"/>
      <x:c r="D24" s="92"/>
      <x:c r="E24" s="92"/>
      <x:c r="F24" s="92"/>
      <x:c r="G24" s="92"/>
      <x:c r="H24" s="92"/>
    </x:row>
    <x:row r="25">
      <x:c r="A25" s="92"/>
      <x:c r="B25" s="92"/>
      <x:c r="C25" s="92"/>
      <x:c r="D25" s="92"/>
      <x:c r="E25" s="92"/>
      <x:c r="F25" s="92"/>
      <x:c r="G25" s="92"/>
      <x:c r="H25" s="9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40" hidden="0" customWidth="1"/>
    <x:col min="4" max="4" width="8" hidden="0" customWidth="1"/>
    <x:col min="5" max="5" width="8" hidden="0" customWidth="1"/>
    <x:col min="6" max="6" width="14" hidden="0" customWidth="1"/>
    <x:col min="7" max="7" width="18" hidden="0" customWidth="1"/>
    <x:col min="8" max="8" width="14" hidden="0" customWidth="1"/>
    <x:col min="9" max="9" width="11" hidden="0" customWidth="1"/>
    <x:col min="10" max="10" width="46" hidden="0" customWidth="1"/>
    <x:col min="11" max="11" width="14" hidden="0" customWidth="1"/>
    <x:col min="12" max="12" width="42" hidden="0" customWidth="1"/>
    <x:col min="13" max="13" width="30" hidden="0" customWidth="1"/>
  </x:cols>
  <x:sheetData>
    <x:row r="1" ht="30" customHeight="1">
      <x:c r="A1" s="13" t="str">
        <x:v>RC-CAR-V1.0 已选商品采购清单（具体商品链接版，2026-08-02）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35" customHeight="1">
      <x:c r="A2" s="16" t="str">
        <x:v>说明：本表链接均为已经选定的商品详情页，不再使用搜索页。进入详情页后仍须按“具体规格”列选择对应SKU；价格为预算值，不含运费，以结算页为准。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4" customHeight="1">
      <x:c r="A4" s="29" t="str">
        <x:v>类别</x:v>
      </x:c>
      <x:c r="B4" s="30" t="str">
        <x:v>已选商品</x:v>
      </x:c>
      <x:c r="C4" s="30" t="str">
        <x:v>下单时选择的具体规格</x:v>
      </x:c>
      <x:c r="D4" s="30" t="str">
        <x:v>数量</x:v>
      </x:c>
      <x:c r="E4" s="30" t="str">
        <x:v>单位</x:v>
      </x:c>
      <x:c r="F4" s="30" t="str">
        <x:v>参考单价(元)</x:v>
      </x:c>
      <x:c r="G4" s="30" t="str">
        <x:v>是否计入当前预算</x:v>
      </x:c>
      <x:c r="H4" s="30" t="str">
        <x:v>采购阶段</x:v>
      </x:c>
      <x:c r="I4" s="30" t="str">
        <x:v>平台</x:v>
      </x:c>
      <x:c r="J4" s="30" t="str">
        <x:v>商品详情直达链接</x:v>
      </x:c>
      <x:c r="K4" s="30" t="str">
        <x:v>小计(元)</x:v>
      </x:c>
      <x:c r="L4" s="30" t="str">
        <x:v>下单与验收要点</x:v>
      </x:c>
      <x:c r="M4" s="31" t="str">
        <x:v>备注</x:v>
      </x:c>
    </x:row>
    <x:row r="5" ht="48" customHeight="1">
      <x:c r="A5" s="58" t="str">
        <x:v>原型电子</x:v>
      </x:c>
      <x:c r="B5" s="59" t="str">
        <x:v>凯元达 ESP32-C3 SuperMini 开发板</x:v>
      </x:c>
      <x:c r="C5" s="59" t="str">
        <x:v>已焊排针；商品页需选“已焊接排针”</x:v>
      </x:c>
      <x:c r="D5" s="45" t="n">
        <x:v>2</x:v>
      </x:c>
      <x:c r="E5" s="44" t="str">
        <x:v>块</x:v>
      </x:c>
      <x:c r="F5" s="46" t="n">
        <x:v>29</x:v>
      </x:c>
      <x:c r="G5" s="44" t="str">
        <x:v>是</x:v>
      </x:c>
      <x:c r="H5" s="44" t="str">
        <x:v>首批必买</x:v>
      </x:c>
      <x:c r="I5" s="44" t="str">
        <x:v>京东</x:v>
      </x:c>
      <x:c r="J5" s="44" t="str">
        <x:v>https://item.jd.com/100124881482.html</x:v>
      </x:c>
      <x:c r="K5" s="46" t="n">
        <x:f>ROUND(IF(G5="是",D5*F5,0),2)</x:f>
        <x:v>58</x:v>
      </x:c>
      <x:c r="L5" s="59" t="str">
        <x:v>确认选项是 ESP32-C3 SuperMini 已焊排针，不是裸模组或未焊版本</x:v>
      </x:c>
      <x:c r="M5" s="62" t="str">
        <x:v>遥控器、车体各一块</x:v>
      </x:c>
    </x:row>
    <x:row r="6" ht="48" customHeight="1">
      <x:c r="A6" s="58" t="str">
        <x:v>原型电子</x:v>
      </x:c>
      <x:c r="B6" s="59" t="str">
        <x:v>轮趣 TB6612FNG 双路驱动模块</x:v>
      </x:c>
      <x:c r="C6" s="59" t="str">
        <x:v>双路 TB6612，焊接排针版本</x:v>
      </x:c>
      <x:c r="D6" s="45" t="n">
        <x:v>1</x:v>
      </x:c>
      <x:c r="E6" s="44" t="str">
        <x:v>块</x:v>
      </x:c>
      <x:c r="F6" s="46" t="n">
        <x:v>29</x:v>
      </x:c>
      <x:c r="G6" s="44" t="str">
        <x:v>是</x:v>
      </x:c>
      <x:c r="H6" s="44" t="str">
        <x:v>首批必买</x:v>
      </x:c>
      <x:c r="I6" s="44" t="str">
        <x:v>京东</x:v>
      </x:c>
      <x:c r="J6" s="44" t="str">
        <x:v>https://item.jd.com/10162327051022.html</x:v>
      </x:c>
      <x:c r="K6" s="46" t="n">
        <x:f>ROUND(IF(G6="是",D6*F6,0),2)</x:f>
        <x:v>29</x:v>
      </x:c>
      <x:c r="L6" s="59" t="str">
        <x:v>选择“焊接排针 双路TB6612”；逻辑电平须兼容3.3V</x:v>
      </x:c>
      <x:c r="M6" s="62" t="str">
        <x:v>电机堵转电流实测后再确认长期适用性</x:v>
      </x:c>
    </x:row>
    <x:row r="7" ht="48" customHeight="1">
      <x:c r="A7" s="58" t="str">
        <x:v>机械动力</x:v>
      </x:c>
      <x:c r="B7" s="59" t="str">
        <x:v>登仕唐 2WD 智能小车底盘套件</x:v>
      </x:c>
      <x:c r="C7" s="59" t="str">
        <x:v>商品页选择“2WD迷你全套”</x:v>
      </x:c>
      <x:c r="D7" s="45" t="n">
        <x:v>1</x:v>
      </x:c>
      <x:c r="E7" s="44" t="str">
        <x:v>套</x:v>
      </x:c>
      <x:c r="F7" s="46" t="n">
        <x:v>59</x:v>
      </x:c>
      <x:c r="G7" s="44" t="str">
        <x:v>是</x:v>
      </x:c>
      <x:c r="H7" s="44" t="str">
        <x:v>首批必买</x:v>
      </x:c>
      <x:c r="I7" s="44" t="str">
        <x:v>京东</x:v>
      </x:c>
      <x:c r="J7" s="44" t="str">
        <x:v>https://ic-item.jd.com/10095736668343.html</x:v>
      </x:c>
      <x:c r="K7" s="46" t="n">
        <x:f>ROUND(IF(G7="是",D7*F7,0),2)</x:f>
        <x:v>59</x:v>
      </x:c>
      <x:c r="L7" s="59" t="str">
        <x:v>该套装一次解决底盘、两台TT电机、轮胎、万向轮、安装件和电池盒匹配问题</x:v>
      </x:c>
      <x:c r="M7" s="62" t="str">
        <x:v>首版原型采用TT电机，降低机械选型风险</x:v>
      </x:c>
    </x:row>
    <x:row r="8" ht="48" customHeight="1">
      <x:c r="A8" s="58" t="str">
        <x:v>遥控输入</x:v>
      </x:c>
      <x:c r="B8" s="59" t="str">
        <x:v>登仕唐 PS2 双轴摇杆模块</x:v>
      </x:c>
      <x:c r="C8" s="59" t="str">
        <x:v>红板防反插接口，配5P线</x:v>
      </x:c>
      <x:c r="D8" s="45" t="n">
        <x:v>1</x:v>
      </x:c>
      <x:c r="E8" s="44" t="str">
        <x:v>个</x:v>
      </x:c>
      <x:c r="F8" s="46" t="n">
        <x:v>18</x:v>
      </x:c>
      <x:c r="G8" s="44" t="str">
        <x:v>是</x:v>
      </x:c>
      <x:c r="H8" s="44" t="str">
        <x:v>首批必买</x:v>
      </x:c>
      <x:c r="I8" s="44" t="str">
        <x:v>京东</x:v>
      </x:c>
      <x:c r="J8" s="44" t="str">
        <x:v>https://item.jd.com/10207428429840.html</x:v>
      </x:c>
      <x:c r="K8" s="46" t="n">
        <x:f>ROUND(IF(G8="是",D8*F8,0),2)</x:f>
        <x:v>18</x:v>
      </x:c>
      <x:c r="L8" s="59" t="str">
        <x:v>商品页选择“红板防反插接口 配5P线”；使用3.3V供电</x:v>
      </x:c>
      <x:c r="M8" s="62" t="str">
        <x:v>中心值需要软件校准及死区</x:v>
      </x:c>
    </x:row>
    <x:row r="9" ht="48" customHeight="1">
      <x:c r="A9" s="58" t="str">
        <x:v>原型连接</x:v>
      </x:c>
      <x:c r="B9" s="59" t="str">
        <x:v>DZQJ MB-102 面包板基础实验套件</x:v>
      </x:c>
      <x:c r="C9" s="59" t="str">
        <x:v>830孔面包板、杜邦线及常用原型配件</x:v>
      </x:c>
      <x:c r="D9" s="45" t="n">
        <x:v>1</x:v>
      </x:c>
      <x:c r="E9" s="44" t="str">
        <x:v>套</x:v>
      </x:c>
      <x:c r="F9" s="46" t="n">
        <x:v>69</x:v>
      </x:c>
      <x:c r="G9" s="44" t="str">
        <x:v>是</x:v>
      </x:c>
      <x:c r="H9" s="44" t="str">
        <x:v>首批必买</x:v>
      </x:c>
      <x:c r="I9" s="44" t="str">
        <x:v>京东</x:v>
      </x:c>
      <x:c r="J9" s="44" t="str">
        <x:v>https://item.jd.com/10145422358367.html</x:v>
      </x:c>
      <x:c r="K9" s="46" t="n">
        <x:f>ROUND(IF(G9="是",D9*F9,0),2)</x:f>
        <x:v>69</x:v>
      </x:c>
      <x:c r="L9" s="59" t="str">
        <x:v>选择“面包板套件基础电子实验”；确认包含公对公/公对母线</x:v>
      </x:c>
      <x:c r="M9" s="62" t="str">
        <x:v>电机与电池大电流不得经过面包板电源轨</x:v>
      </x:c>
    </x:row>
    <x:row r="10" ht="48" customHeight="1">
      <x:c r="A10" s="58" t="str">
        <x:v>调试连接</x:v>
      </x:c>
      <x:c r="B10" s="59" t="str">
        <x:v>绿联 30875 二合一数据线2条装</x:v>
      </x:c>
      <x:c r="C10" s="59" t="str">
        <x:v>USB-A 转 Micro USB/Type-C，1m，2条装</x:v>
      </x:c>
      <x:c r="D10" s="45" t="n">
        <x:v>1</x:v>
      </x:c>
      <x:c r="E10" s="44" t="str">
        <x:v>套</x:v>
      </x:c>
      <x:c r="F10" s="46" t="n">
        <x:v>39.9</x:v>
      </x:c>
      <x:c r="G10" s="44" t="str">
        <x:v>是</x:v>
      </x:c>
      <x:c r="H10" s="44" t="str">
        <x:v>首批必买</x:v>
      </x:c>
      <x:c r="I10" s="44" t="str">
        <x:v>京东</x:v>
      </x:c>
      <x:c r="J10" s="44" t="str">
        <x:v>https://item.jd.com/100061434896.html</x:v>
      </x:c>
      <x:c r="K10" s="46" t="n">
        <x:f>ROUND(IF(G10="是",D10*F10,0),2)</x:f>
        <x:v>39.9</x:v>
      </x:c>
      <x:c r="L10" s="59" t="str">
        <x:v>页面明确为数据线且含Type-C接头；一套两条</x:v>
      </x:c>
      <x:c r="M10" s="62" t="str">
        <x:v>两块开发板可同时连接电脑</x:v>
      </x:c>
    </x:row>
    <x:row r="11" ht="48" customHeight="1">
      <x:c r="A11" s="58" t="str">
        <x:v>供电</x:v>
      </x:c>
      <x:c r="B11" s="59" t="str">
        <x:v>松下 AA 5号碱性电池</x:v>
      </x:c>
      <x:c r="C11" s="59" t="str">
        <x:v>商品页选择5号规格，至少4节</x:v>
      </x:c>
      <x:c r="D11" s="45" t="n">
        <x:v>1</x:v>
      </x:c>
      <x:c r="E11" s="44" t="str">
        <x:v>组</x:v>
      </x:c>
      <x:c r="F11" s="46" t="n">
        <x:v>29.9</x:v>
      </x:c>
      <x:c r="G11" s="44" t="str">
        <x:v>是</x:v>
      </x:c>
      <x:c r="H11" s="44" t="str">
        <x:v>首批必买</x:v>
      </x:c>
      <x:c r="I11" s="44" t="str">
        <x:v>京东</x:v>
      </x:c>
      <x:c r="J11" s="44" t="str">
        <x:v>https://item.jd.com/10141652671465.html</x:v>
      </x:c>
      <x:c r="K11" s="46" t="n">
        <x:f>ROUND(IF(G11="是",D11*F11,0),2)</x:f>
        <x:v>29.9</x:v>
      </x:c>
      <x:c r="L11" s="59" t="str">
        <x:v>首轮调试先用正规碱性电池；不要混用新旧电池</x:v>
      </x:c>
      <x:c r="M11" s="62" t="str">
        <x:v>后续确认续航后再升级低自放电镍氢</x:v>
      </x:c>
    </x:row>
    <x:row r="12" ht="48" customHeight="1">
      <x:c r="A12" s="58" t="str">
        <x:v>供电</x:v>
      </x:c>
      <x:c r="B12" s="59" t="str">
        <x:v>松下 AAA 7号碱性电池</x:v>
      </x:c>
      <x:c r="C12" s="59" t="str">
        <x:v>商品页选择7号4节</x:v>
      </x:c>
      <x:c r="D12" s="45" t="n">
        <x:v>1</x:v>
      </x:c>
      <x:c r="E12" s="44" t="str">
        <x:v>组</x:v>
      </x:c>
      <x:c r="F12" s="46" t="n">
        <x:v>29.9</x:v>
      </x:c>
      <x:c r="G12" s="44" t="str">
        <x:v>是</x:v>
      </x:c>
      <x:c r="H12" s="44" t="str">
        <x:v>首批必买</x:v>
      </x:c>
      <x:c r="I12" s="44" t="str">
        <x:v>京东</x:v>
      </x:c>
      <x:c r="J12" s="44" t="str">
        <x:v>https://item.jd.com/10141652671465.html</x:v>
      </x:c>
      <x:c r="K12" s="46" t="n">
        <x:f>ROUND(IF(G12="是",D12*F12,0),2)</x:f>
        <x:v>29.9</x:v>
      </x:c>
      <x:c r="L12" s="59" t="str">
        <x:v>用于遥控器；下单前确认选项显示“7号4节”</x:v>
      </x:c>
      <x:c r="M12" s="62" t="str">
        <x:v>若底盘套装不含遥控器电池盒，先USB供电调试遥控端</x:v>
      </x:c>
    </x:row>
    <x:row r="13" ht="48" customHeight="1">
      <x:c r="A13" s="58" t="str">
        <x:v>抗干扰</x:v>
      </x:c>
      <x:c r="B13" s="59" t="str">
        <x:v>104 100nF 50V 陶瓷电容100只</x:v>
      </x:c>
      <x:c r="C13" s="59" t="str">
        <x:v>引脚间距5mm，100nF/0.1uF，50V</x:v>
      </x:c>
      <x:c r="D13" s="45" t="n">
        <x:v>1</x:v>
      </x:c>
      <x:c r="E13" s="44" t="str">
        <x:v>包</x:v>
      </x:c>
      <x:c r="F13" s="46" t="n">
        <x:v>15</x:v>
      </x:c>
      <x:c r="G13" s="44" t="str">
        <x:v>是</x:v>
      </x:c>
      <x:c r="H13" s="44" t="str">
        <x:v>首批必买</x:v>
      </x:c>
      <x:c r="I13" s="44" t="str">
        <x:v>AliExpress</x:v>
      </x:c>
      <x:c r="J13" s="44" t="str">
        <x:v>https://www.aliexpress.com/item/32375639403.html</x:v>
      </x:c>
      <x:c r="K13" s="46" t="n">
        <x:f>ROUND(IF(G13="是",D13*F13,0),2)</x:f>
        <x:v>15</x:v>
      </x:c>
      <x:c r="L13" s="59" t="str">
        <x:v>每台电机两端焊1只，引脚尽量短；到货抽测容量</x:v>
      </x:c>
      <x:c r="M13" s="62" t="str">
        <x:v>页面币种可能自动切换</x:v>
      </x:c>
    </x:row>
    <x:row r="14" ht="48" customHeight="1">
      <x:c r="A14" s="58" t="str">
        <x:v>调试工具</x:v>
      </x:c>
      <x:c r="B14" s="59" t="str">
        <x:v>兆信 KXB-325DW 可调直流稳压电源</x:v>
      </x:c>
      <x:c r="C14" s="59" t="str">
        <x:v>0–30V级，恒压/恒流，含输出线</x:v>
      </x:c>
      <x:c r="D14" s="45" t="n">
        <x:v>1</x:v>
      </x:c>
      <x:c r="E14" s="44" t="str">
        <x:v>台</x:v>
      </x:c>
      <x:c r="F14" s="46" t="n">
        <x:v>350</x:v>
      </x:c>
      <x:c r="G14" s="44" t="str">
        <x:v>按需</x:v>
      </x:c>
      <x:c r="H14" s="44" t="str">
        <x:v>强烈建议</x:v>
      </x:c>
      <x:c r="I14" s="44" t="str">
        <x:v>京东</x:v>
      </x:c>
      <x:c r="J14" s="44" t="str">
        <x:v>https://item.jd.com/11990835108.html</x:v>
      </x:c>
      <x:c r="K14" s="46" t="n">
        <x:f>ROUND(IF(G14="是",D14*F14,0),2)</x:f>
        <x:v>0</x:v>
      </x:c>
      <x:c r="L14" s="59" t="str">
        <x:v>下单前在选项中确认电流规格满足至少3A；必须支持限流</x:v>
      </x:c>
      <x:c r="M14" s="62" t="str">
        <x:v>已有带限流电源可不买</x:v>
      </x:c>
    </x:row>
    <x:row r="15" ht="48" customHeight="1">
      <x:c r="A15" s="58" t="str">
        <x:v>调试工具</x:v>
      </x:c>
      <x:c r="B15" s="59" t="str">
        <x:v>优利德 UT890D+ 数字万用表</x:v>
      </x:c>
      <x:c r="C15" s="59" t="str">
        <x:v>真有效值，直流电流档、通断档</x:v>
      </x:c>
      <x:c r="D15" s="45" t="n">
        <x:v>1</x:v>
      </x:c>
      <x:c r="E15" s="44" t="str">
        <x:v>台</x:v>
      </x:c>
      <x:c r="F15" s="46" t="n">
        <x:v>229</x:v>
      </x:c>
      <x:c r="G15" s="44" t="str">
        <x:v>按需</x:v>
      </x:c>
      <x:c r="H15" s="44" t="str">
        <x:v>强烈建议</x:v>
      </x:c>
      <x:c r="I15" s="44" t="str">
        <x:v>京东</x:v>
      </x:c>
      <x:c r="J15" s="44" t="str">
        <x:v>https://item.jd.com/100164052612.html</x:v>
      </x:c>
      <x:c r="K15" s="46" t="n">
        <x:f>ROUND(IF(G15="是",D15*F15,0),2)</x:f>
        <x:v>0</x:v>
      </x:c>
      <x:c r="L15" s="59" t="str">
        <x:v>测堵转电流前核对表笔插孔、保险丝及电流量程</x:v>
      </x:c>
      <x:c r="M15" s="62" t="str">
        <x:v>已有可靠万用表可不买</x:v>
      </x:c>
    </x:row>
    <x:row r="16" ht="48" customHeight="1">
      <x:c r="A16" s="60" t="str">
        <x:v>焊接工具</x:v>
      </x:c>
      <x:c r="B16" s="61" t="str">
        <x:v>得力 DL-HT936 60W 控温焊台</x:v>
      </x:c>
      <x:c r="C16" s="61" t="str">
        <x:v>60W旋钮调温，936型</x:v>
      </x:c>
      <x:c r="D16" s="50" t="n">
        <x:v>1</x:v>
      </x:c>
      <x:c r="E16" s="49" t="str">
        <x:v>台</x:v>
      </x:c>
      <x:c r="F16" s="51" t="n">
        <x:v>169</x:v>
      </x:c>
      <x:c r="G16" s="49" t="str">
        <x:v>按需</x:v>
      </x:c>
      <x:c r="H16" s="49" t="str">
        <x:v>PCB阶段必需</x:v>
      </x:c>
      <x:c r="I16" s="49" t="str">
        <x:v>京东</x:v>
      </x:c>
      <x:c r="J16" s="49" t="str">
        <x:v>https://item.jd.com/100057797828.html</x:v>
      </x:c>
      <x:c r="K16" s="51" t="n">
        <x:f>ROUND(IF(G16="是",D16*F16,0),2)</x:f>
        <x:v>0</x:v>
      </x:c>
      <x:c r="L16" s="61" t="str">
        <x:v>焊电机抗干扰电容和后续PCB会用到；注意通风</x:v>
      </x:c>
      <x:c r="M16" s="63" t="str">
        <x:v>已有恒温焊台可不买</x:v>
      </x:c>
    </x:row>
    <x:row r="17">
      <x:c r="A17" s="53" t="str">
        <x:v>当前必买预算合计（不含“按需”和“否”）</x:v>
      </x:c>
      <x:c r="B17" s="54"/>
      <x:c r="C17" s="54"/>
      <x:c r="D17" s="55"/>
      <x:c r="E17" s="54"/>
      <x:c r="F17" s="56"/>
      <x:c r="G17" s="54"/>
      <x:c r="H17" s="54"/>
      <x:c r="I17" s="54"/>
      <x:c r="J17" s="54"/>
      <x:c r="K17" s="56" t="n">
        <x:f>ROUND(SUM(K5:K16),2)</x:f>
        <x:v>347.7</x:v>
      </x:c>
      <x:c r="L17" s="64" t="str">
        <x:v>实际支出请将是否计入预算改为“是”并更新单价</x:v>
      </x:c>
      <x:c r="M17" s="65"/>
    </x:row>
  </x:sheetData>
  <x:mergeCells>
    <x:mergeCell ref="A1:M1"/>
    <x:mergeCell ref="A2:M2"/>
    <x:mergeCell ref="A17:J17"/>
    <x:mergeCell ref="L17:M17"/>
  </x:mergeCells>
  <x:conditionalFormatting sqref="G5:G16">
    <x:cfRule type="containsText" dxfId="0" priority="1" operator="containsText" text="是"/>
    <x:cfRule type="containsText" dxfId="1" priority="2" operator="containsText" text="按需"/>
    <x:cfRule type="containsText" dxfId="2" priority="3" operator="containsText" text="否"/>
  </x:conditionalFormatting>
  <x:dataValidations count="2">
    <x:dataValidation type="list" sqref="G5:G16">
      <x:formula1>"是,按需,否"</x:formula1>
    </x:dataValidation>
    <x:dataValidation type="list" sqref="H5:H16">
      <x:formula1>"首批必买,强烈建议,机械阶段建议,PCB阶段必需,可选调试,原型通过后"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eab615528845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55" hidden="0" customWidth="1"/>
  </x:cols>
  <x:sheetData>
    <x:row r="1" ht="34" customHeight="1">
      <x:c r="A1" s="68" t="str">
        <x:v>选型、下单与验收说明</x:v>
      </x:c>
      <x:c r="B1" s="68"/>
      <x:c r="C1" s="68"/>
      <x:c r="D1" s="68"/>
      <x:c r="E1" s="68"/>
      <x:c r="F1" s="68"/>
    </x:row>
    <x:row r="3">
      <x:c r="A3" s="71" t="str">
        <x:v>主题</x:v>
      </x:c>
      <x:c r="B3" s="71" t="str">
        <x:v>建议</x:v>
      </x:c>
      <x:c r="C3" s="71" t="str">
        <x:v>原因/风险</x:v>
      </x:c>
    </x:row>
    <x:row r="4" ht="52" customHeight="1">
      <x:c r="A4" s="126" t="str">
        <x:v>采购顺序</x:v>
      </x:c>
      <x:c r="B4" s="127" t="str">
        <x:v>先买开发板、驱动模块、电机/轮胎/支架、供电、摇杆和原型连接材料。</x:v>
      </x:c>
      <x:c r="C4" s="128" t="str">
        <x:v>电机参数和机械尺寸会决定驱动器及PCB设计。</x:v>
      </x:c>
    </x:row>
    <x:row r="5" ht="52" customHeight="1">
      <x:c r="A5" s="58" t="str">
        <x:v>电机选择</x:v>
      </x:c>
      <x:c r="B5" s="59" t="str">
        <x:v>首版直接选择“2WD迷你全套”底盘套件及其配套TT电机。</x:v>
      </x:c>
      <x:c r="C5" s="62" t="str">
        <x:v>套件可避免电机轴、轮毂、支架和底盘孔位不匹配；到货后仍需实测电流。</x:v>
      </x:c>
    </x:row>
    <x:row r="6" ht="52" customHeight="1">
      <x:c r="A6" s="58" t="str">
        <x:v>传动匹配</x:v>
      </x:c>
      <x:c r="B6" s="59" t="str">
        <x:v>不要再单独购买本表之外的N20电机、轮胎和支架。</x:v>
      </x:c>
      <x:c r="C6" s="62" t="str">
        <x:v>先用配套TT电机跑通原型，V2再根据速度和扭矩需求升级。</x:v>
      </x:c>
    </x:row>
    <x:row r="7" ht="52" customHeight="1">
      <x:c r="A7" s="58" t="str">
        <x:v>供电安全</x:v>
      </x:c>
      <x:c r="B7" s="59" t="str">
        <x:v>车体先用4节AA镍氢；禁止USB 5V与电池直接并联。</x:v>
      </x:c>
      <x:c r="C7" s="62" t="str">
        <x:v>电机启动压降可能导致ESP32复位，后续PCB需分支滤波。</x:v>
      </x:c>
    </x:row>
    <x:row r="8" ht="52" customHeight="1">
      <x:c r="A8" s="58" t="str">
        <x:v>TB6612适用条件</x:v>
      </x:c>
      <x:c r="B8" s="59" t="str">
        <x:v>只有在单电机实测堵转电流接近或低于1A时继续使用。</x:v>
      </x:c>
      <x:c r="C8" s="62" t="str">
        <x:v>超过能力会导致芯片过热、限流或损坏，应更换更强驱动。</x:v>
      </x:c>
    </x:row>
    <x:row r="9" ht="52" customHeight="1">
      <x:c r="A9" s="58" t="str">
        <x:v>电商链接</x:v>
      </x:c>
      <x:c r="B9" s="59" t="str">
        <x:v>清单已改为具体商品详情页；必须按照“下单时选择的具体规格”选择SKU。</x:v>
      </x:c>
      <x:c r="C9" s="62" t="str">
        <x:v>同一详情页通常包含多个型号，直接打开链接不代表默认选项就是目标规格。</x:v>
      </x:c>
    </x:row>
    <x:row r="10" ht="52" customHeight="1">
      <x:c r="A10" s="58" t="str">
        <x:v>预算使用</x:v>
      </x:c>
      <x:c r="B10" s="59" t="str">
        <x:v>“是否计入当前预算”可改为是/按需/否；小计和总览会自动更新。</x:v>
      </x:c>
      <x:c r="C10" s="62" t="str">
        <x:v>已有工具可标记为否，实际单价可直接覆盖参考单价。</x:v>
      </x:c>
    </x:row>
    <x:row r="11" ht="52" customHeight="1">
      <x:c r="A11" s="58" t="str">
        <x:v>到货验收</x:v>
      </x:c>
      <x:c r="B11" s="59" t="str">
        <x:v>核对型号数量；万用表测短路；开发板先跑LED；电机逐个限流测试并记录。</x:v>
      </x:c>
      <x:c r="C11" s="62" t="str">
        <x:v>不要把所有器件一次接上电，便于隔离故障。</x:v>
      </x:c>
    </x:row>
    <x:row r="12" ht="52" customHeight="1">
      <x:c r="A12" s="60" t="str">
        <x:v>价格声明</x:v>
      </x:c>
      <x:c r="B12" s="61" t="str">
        <x:v>参考价为2026-08-02常见零售预算值，不代表指定商家承诺价，且未计运费。</x:v>
      </x:c>
      <x:c r="C12" s="63" t="str">
        <x:v>促销、地区、店铺、包装数量和开票要求都会改变价格。</x:v>
      </x:c>
    </x:row>
  </x:sheetData>
  <x:mergeCells>
    <x:mergeCell ref="A1:F1"/>
  </x:mergeCells>
  <x:pageMargins left="0.7" right="0.7" top="0.75" bottom="0.75" header="0.3" footer="0.3"/>
</x:worksheet>
</file>